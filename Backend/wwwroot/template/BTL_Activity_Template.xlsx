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Lists" sheetId="1" r:id="rId1"/>
    <sheet name="Activities" sheetId="2" r:id="rId2"/>
    <sheet name="Subcategory Reference" sheetId="3" r:id="rId3"/>
    <sheet name="Instructions" sheetId="4" r:id="rId4"/>
  </sheets>
  <calcPr calcId="124519" fullCalcOnLoad="1"/>
</workbook>
</file>

<file path=xl/sharedStrings.xml><?xml version="1.0" encoding="utf-8"?>
<sst xmlns="http://schemas.openxmlformats.org/spreadsheetml/2006/main" count="330" uniqueCount="143">
  <si>
    <t>Activity Names</t>
  </si>
  <si>
    <t>Category</t>
  </si>
  <si>
    <t>Auto Announcement</t>
  </si>
  <si>
    <t>Auto Expo</t>
  </si>
  <si>
    <t>Branding</t>
  </si>
  <si>
    <t>Canopy</t>
  </si>
  <si>
    <t>Dealer Meet</t>
  </si>
  <si>
    <t>Demo Van</t>
  </si>
  <si>
    <t>Digital</t>
  </si>
  <si>
    <t>E-Rickshaw Activity</t>
  </si>
  <si>
    <t>Gift</t>
  </si>
  <si>
    <t>Hoarding</t>
  </si>
  <si>
    <t>Inauguration</t>
  </si>
  <si>
    <t>Leaflet Distribution</t>
  </si>
  <si>
    <t>LED Screen Display</t>
  </si>
  <si>
    <t>Mall Activity</t>
  </si>
  <si>
    <t>Mela</t>
  </si>
  <si>
    <t>Newspaper</t>
  </si>
  <si>
    <t>Newspaper Insertion</t>
  </si>
  <si>
    <t>Promotional Material</t>
  </si>
  <si>
    <t>Radio Advertisement</t>
  </si>
  <si>
    <t>Referral Program</t>
  </si>
  <si>
    <t>Sports Sponsorship</t>
  </si>
  <si>
    <t>Theatre Advertisement</t>
  </si>
  <si>
    <t>Wall Poster</t>
  </si>
  <si>
    <t>ATL</t>
  </si>
  <si>
    <t>BTL</t>
  </si>
  <si>
    <t>2D Gate</t>
  </si>
  <si>
    <t>3D Gate</t>
  </si>
  <si>
    <t>Arch Gate</t>
  </si>
  <si>
    <t>Auto Branding</t>
  </si>
  <si>
    <t>Banner</t>
  </si>
  <si>
    <t>Bus Branding</t>
  </si>
  <si>
    <t>Facebook</t>
  </si>
  <si>
    <t>Instagram</t>
  </si>
  <si>
    <t>YouTube</t>
  </si>
  <si>
    <t>Air Conditioner (AC)</t>
  </si>
  <si>
    <t>Air Fryer</t>
  </si>
  <si>
    <t>Electric Iron</t>
  </si>
  <si>
    <t>Fan</t>
  </si>
  <si>
    <t>Geyser</t>
  </si>
  <si>
    <t>Gold Coin</t>
  </si>
  <si>
    <t>LED TV</t>
  </si>
  <si>
    <t>Mixer Grinder</t>
  </si>
  <si>
    <t>Trolley Bag</t>
  </si>
  <si>
    <t>Washing Machine</t>
  </si>
  <si>
    <t>Dealer Inauguration</t>
  </si>
  <si>
    <t>Amar Ujala</t>
  </si>
  <si>
    <t>Daily Thanthi</t>
  </si>
  <si>
    <t>Dainik Bhaskar</t>
  </si>
  <si>
    <t>Dainik Jagran</t>
  </si>
  <si>
    <t>Hindustan Times</t>
  </si>
  <si>
    <t>Lokmat</t>
  </si>
  <si>
    <t>Loksatta</t>
  </si>
  <si>
    <t>Maharashtra Times</t>
  </si>
  <si>
    <t>Sakal</t>
  </si>
  <si>
    <t>The Hindu</t>
  </si>
  <si>
    <t>Times of India</t>
  </si>
  <si>
    <t>Paper Insertion</t>
  </si>
  <si>
    <t>Material Supply</t>
  </si>
  <si>
    <t>Radio</t>
  </si>
  <si>
    <t>Referral</t>
  </si>
  <si>
    <t>IPL</t>
  </si>
  <si>
    <t>PKL</t>
  </si>
  <si>
    <t>★ REQUIRED</t>
  </si>
  <si>
    <t>🔒 Auto</t>
  </si>
  <si>
    <t>Optional</t>
  </si>
  <si>
    <t>Activity Name *</t>
  </si>
  <si>
    <t>Subcategory</t>
  </si>
  <si>
    <t>QTY</t>
  </si>
  <si>
    <t>Category (ATL/BTL)</t>
  </si>
  <si>
    <t>Lead Target</t>
  </si>
  <si>
    <t>Sales %</t>
  </si>
  <si>
    <t>Retail Target</t>
  </si>
  <si>
    <t>Start Date
(DD-MM-YYYY)</t>
  </si>
  <si>
    <t>End Date
(DD-MM-YYYY)</t>
  </si>
  <si>
    <t>Budget (₹)</t>
  </si>
  <si>
    <t>Special Approval
Budget (₹)</t>
  </si>
  <si>
    <t>BGauss
Share %</t>
  </si>
  <si>
    <t>BGauss Amount (₹)</t>
  </si>
  <si>
    <t>Total Budget (₹)</t>
  </si>
  <si>
    <t>Remarks</t>
  </si>
  <si>
    <t>Select ▼ (23 activities)</t>
  </si>
  <si>
    <t>Select ▼ (auto-filtered by col A)</t>
  </si>
  <si>
    <t>1–max</t>
  </si>
  <si>
    <t>🔒 Auto VLOOKUP</t>
  </si>
  <si>
    <t>Number</t>
  </si>
  <si>
    <t>e.g. 3%</t>
  </si>
  <si>
    <t>Auto or manual</t>
  </si>
  <si>
    <t>DD-MM-YYYY</t>
  </si>
  <si>
    <t>e.g. 50000</t>
  </si>
  <si>
    <t>0 if none</t>
  </si>
  <si>
    <t>100/70/50 ▼</t>
  </si>
  <si>
    <t>01-07-2026</t>
  </si>
  <si>
    <t>31-07-2026</t>
  </si>
  <si>
    <t>EXAMPLE — delete before import</t>
  </si>
  <si>
    <t>Activity Master — Subcategory &amp; Max QTY Reference</t>
  </si>
  <si>
    <t>Activity Name</t>
  </si>
  <si>
    <t>ATL / BTL</t>
  </si>
  <si>
    <t>Max QTY</t>
  </si>
  <si>
    <t>BGauss BTL — Activity Plan Template Guide</t>
  </si>
  <si>
    <t>➡  Open the Activities sheet  ·  Select Activity Name (col A)  ·  Col B &amp; D auto-update  ·  Delete rows 4-6  ·  Save  ·  Import</t>
  </si>
  <si>
    <t>Col</t>
  </si>
  <si>
    <t>Field</t>
  </si>
  <si>
    <t>Instructions</t>
  </si>
  <si>
    <t>A ★</t>
  </si>
  <si>
    <t>⬇ DROPDOWN — Click the cell, a dropdown arrow appears, pick an activity. 23 activities from Activity Master. Pick this FIRST — col B and col D update automatically.</t>
  </si>
  <si>
    <t>B</t>
  </si>
  <si>
    <t>⬇ CASCADE DROPDOWN — Automatically shows ONLY the valid subcategories for whatever Activity Name you selected in col A. Click cell → dropdown arrow → pick.</t>
  </si>
  <si>
    <t>C</t>
  </si>
  <si>
    <t>Whole number 1–20. See Subcategory Reference sheet for max per subcategory.</t>
  </si>
  <si>
    <t>D 🔒</t>
  </si>
  <si>
    <t>🔒 AUTO-FILLED via formula — Do NOT type here. Shows ATL or BTL automatically as soon as you pick Activity Name in col A.</t>
  </si>
  <si>
    <t>E ★</t>
  </si>
  <si>
    <t>Expected number of leads. Positive whole number.</t>
  </si>
  <si>
    <t>F</t>
  </si>
  <si>
    <t>Optional. e.g. 3 means Retail = Lead × 3 ÷ 100. Auto-calculated on import.</t>
  </si>
  <si>
    <t>G ★</t>
  </si>
  <si>
    <t>Leave blank if Sales % filled (auto-calc on import). Otherwise type manually.</t>
  </si>
  <si>
    <t>H ★</t>
  </si>
  <si>
    <t>Start Date</t>
  </si>
  <si>
    <t>Format: DD-MM-YYYY  e.g. 01-07-2026</t>
  </si>
  <si>
    <t>I ★</t>
  </si>
  <si>
    <t>End Date</t>
  </si>
  <si>
    <t>Format: DD-MM-YYYY  Must be ≥ Start Date.</t>
  </si>
  <si>
    <t>J ★</t>
  </si>
  <si>
    <t>Numbers only. No ₹ symbol, no commas. e.g. 50000</t>
  </si>
  <si>
    <t>K</t>
  </si>
  <si>
    <t>Special Approval Budget</t>
  </si>
  <si>
    <t>Enter 0 if not needed.</t>
  </si>
  <si>
    <t>L ★</t>
  </si>
  <si>
    <t>BGauss Share %</t>
  </si>
  <si>
    <t>⬇ DROPDOWN — Pick 100, 70 or 50. BGauss pays this % of total budget.</t>
  </si>
  <si>
    <t>M 🔒</t>
  </si>
  <si>
    <t>BGauss Amount</t>
  </si>
  <si>
    <t>🔒 AUTO FORMULA = (Budget+Special)×Share÷100. Updates live. Do NOT edit.</t>
  </si>
  <si>
    <t>N 🔒</t>
  </si>
  <si>
    <t>Total Budget</t>
  </si>
  <si>
    <t>🔒 AUTO FORMULA = Budget+Special. Updates live. Do NOT edit.</t>
  </si>
  <si>
    <t>O</t>
  </si>
  <si>
    <t>Optional notes for Checker/Approver.</t>
  </si>
  <si>
    <t>⚠  DELETE rows 4, 5, 6 (EXAMPLE rows) before importing. They are samples only.</t>
  </si>
  <si>
    <t>✔  Col D auto-fills ATL/BTL via VLOOKUP  ·  Col B cascades via INDIRECT+MATCH  ·  Generated 28-Jul-2026 · 23 activities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</si>
</sst>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1E40AF"/>
      <name val="Calibri"/>
      <family val="2"/>
      <scheme val="minor"/>
    </font>
    <font>
      <sz val="9"/>
      <color rgb="FF374151"/>
      <name val="Calibri"/>
      <family val="2"/>
      <scheme val="minor"/>
    </font>
    <font>
      <b/>
      <sz val="9"/>
      <color rgb="FF166534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8"/>
      <color rgb="FF94A3B8"/>
      <name val="Calibri"/>
      <family val="2"/>
      <scheme val="minor"/>
    </font>
    <font>
      <b/>
      <sz val="8"/>
      <color rgb="FF9CA3A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i/>
      <sz val="8"/>
      <color rgb="FF64748B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i/>
      <sz val="10"/>
      <color rgb="FF166534"/>
      <name val="Calibri"/>
      <family val="2"/>
      <scheme val="minor"/>
    </font>
    <font>
      <b/>
      <sz val="10"/>
      <color rgb="FF166534"/>
      <name val="Calibri"/>
      <family val="2"/>
      <scheme val="minor"/>
    </font>
    <font>
      <sz val="10"/>
      <color rgb="FF1E293B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0A2540"/>
      <name val="Calibri"/>
      <family val="2"/>
      <scheme val="minor"/>
    </font>
    <font>
      <sz val="10"/>
      <color rgb="FF374151"/>
      <name val="Calibri"/>
      <family val="2"/>
      <scheme val="minor"/>
    </font>
    <font>
      <b/>
      <sz val="10"/>
      <color rgb="FF374151"/>
      <name val="Calibri"/>
      <family val="2"/>
      <scheme val="minor"/>
    </font>
    <font>
      <b/>
      <sz val="15"/>
      <color rgb="FFFFFFFF"/>
      <name val="Calibri"/>
      <family val="2"/>
      <scheme val="minor"/>
    </font>
    <font>
      <sz val="11"/>
      <color rgb="FF0A2540"/>
      <name val="Calibri"/>
      <family val="2"/>
      <scheme val="minor"/>
    </font>
    <font>
      <sz val="10"/>
      <color rgb="FF166534"/>
      <name val="Calibri"/>
      <family val="2"/>
      <scheme val="minor"/>
    </font>
    <font>
      <b/>
      <sz val="11"/>
      <color rgb="FF92400E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0A2540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66534"/>
        <bgColor indexed="64"/>
      </patternFill>
    </fill>
    <fill>
      <patternFill patternType="solid">
        <fgColor rgb="FF374151"/>
        <bgColor indexed="64"/>
      </patternFill>
    </fill>
    <fill>
      <patternFill patternType="solid">
        <fgColor rgb="FF6D28D9"/>
        <bgColor indexed="64"/>
      </patternFill>
    </fill>
    <fill>
      <patternFill patternType="solid">
        <fgColor rgb="FF92400E"/>
        <bgColor indexed="64"/>
      </patternFill>
    </fill>
    <fill>
      <patternFill patternType="solid">
        <fgColor rgb="FF1D4ED8"/>
        <bgColor indexed="64"/>
      </patternFill>
    </fill>
    <fill>
      <patternFill patternType="solid">
        <fgColor rgb="FF1E3A5F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EFCE8"/>
        <bgColor indexed="64"/>
      </patternFill>
    </fill>
    <fill>
      <patternFill patternType="solid">
        <fgColor rgb="FFFEF9C3"/>
        <bgColor indexed="64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  <border>
      <left style="thin">
        <color rgb="FFBBF7D0"/>
      </left>
      <right style="thin">
        <color rgb="FFBBF7D0"/>
      </right>
      <top style="thin">
        <color rgb="FFBBF7D0"/>
      </top>
      <bottom style="thin">
        <color rgb="FFBBF7D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 applyProtection="1">
      <alignment horizontal="left" vertical="center"/>
      <protection locked="0"/>
    </xf>
    <xf numFmtId="0" fontId="10" fillId="16" borderId="1" xfId="0" applyFont="1" applyFill="1" applyBorder="1" applyAlignment="1" applyProtection="1">
      <alignment horizontal="center" vertical="center"/>
      <protection locked="0"/>
    </xf>
    <xf numFmtId="0" fontId="11" fillId="16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 applyProtection="1">
      <alignment horizontal="left" vertical="center"/>
      <protection locked="0"/>
    </xf>
    <xf numFmtId="0" fontId="13" fillId="5" borderId="1" xfId="0" applyFont="1" applyFill="1" applyBorder="1" applyAlignment="1" applyProtection="1">
      <alignment horizontal="center" vertical="center"/>
      <protection locked="0"/>
    </xf>
    <xf numFmtId="0" fontId="13" fillId="7" borderId="1" xfId="0" applyFont="1" applyFill="1" applyBorder="1" applyAlignment="1" applyProtection="1">
      <alignment horizontal="left" vertical="center"/>
      <protection locked="0"/>
    </xf>
    <xf numFmtId="0" fontId="13" fillId="7" borderId="1" xfId="0" applyFont="1" applyFill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left" vertical="center"/>
    </xf>
    <xf numFmtId="0" fontId="17" fillId="5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 applyProtection="1">
      <alignment horizontal="center" vertical="center" wrapText="1"/>
      <protection locked="0"/>
    </xf>
    <xf numFmtId="0" fontId="16" fillId="7" borderId="1" xfId="0" applyFont="1" applyFill="1" applyBorder="1" applyAlignment="1" applyProtection="1">
      <alignment horizontal="center" vertical="center" wrapText="1"/>
      <protection locked="0"/>
    </xf>
    <xf numFmtId="0" fontId="20" fillId="17" borderId="1" xfId="0" applyFont="1" applyFill="1" applyBorder="1" applyAlignment="1" applyProtection="1">
      <alignment horizontal="center" vertical="center" wrapText="1"/>
      <protection locked="0"/>
    </xf>
    <xf numFmtId="0" fontId="21" fillId="17" borderId="2" xfId="0" applyFont="1" applyFill="1" applyBorder="1" applyAlignment="1" applyProtection="1">
      <alignment horizontal="center" vertical="center" wrapText="1"/>
      <protection locked="0"/>
    </xf>
    <xf numFmtId="0" fontId="20" fillId="6" borderId="3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94A3B8"/>
  </sheetPr>
  <dimension ref="A1:Y24"/>
  <sheetViews>
    <sheetView workbookViewId="0"/>
  </sheetViews>
  <sheetFormatPr defaultRowHeight="15"/>
  <cols>
    <col min="1" max="1" width="22.7109375" customWidth="1"/>
    <col min="2" max="2" width="10.7109375" customWidth="1"/>
    <col min="3" max="25" width="14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 t="s">
        <v>2</v>
      </c>
      <c r="B2" s="3" t="s">
        <v>25</v>
      </c>
      <c r="C2" s="4" t="s">
        <v>2</v>
      </c>
      <c r="D2" s="4" t="s">
        <v>3</v>
      </c>
      <c r="E2" s="4" t="s">
        <v>27</v>
      </c>
      <c r="F2" s="4" t="s">
        <v>5</v>
      </c>
      <c r="G2" s="4" t="s">
        <v>6</v>
      </c>
      <c r="H2" s="4" t="s">
        <v>7</v>
      </c>
      <c r="I2" s="4" t="s">
        <v>33</v>
      </c>
      <c r="J2" s="4" t="s">
        <v>9</v>
      </c>
      <c r="K2" s="4" t="s">
        <v>36</v>
      </c>
      <c r="L2" s="4" t="s">
        <v>11</v>
      </c>
      <c r="M2" s="4" t="s">
        <v>46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47</v>
      </c>
      <c r="S2" s="4" t="s">
        <v>58</v>
      </c>
      <c r="T2" s="4" t="s">
        <v>59</v>
      </c>
      <c r="U2" s="4" t="s">
        <v>60</v>
      </c>
      <c r="V2" s="4" t="s">
        <v>61</v>
      </c>
      <c r="W2" s="4" t="s">
        <v>62</v>
      </c>
      <c r="X2" s="4" t="s">
        <v>23</v>
      </c>
      <c r="Y2" s="4" t="s">
        <v>24</v>
      </c>
    </row>
    <row r="3" spans="1:25">
      <c r="A3" s="2" t="s">
        <v>3</v>
      </c>
      <c r="B3" s="5" t="s">
        <v>26</v>
      </c>
      <c r="E3" s="6" t="s">
        <v>28</v>
      </c>
      <c r="I3" s="6" t="s">
        <v>34</v>
      </c>
      <c r="K3" s="6" t="s">
        <v>37</v>
      </c>
      <c r="R3" s="6" t="s">
        <v>48</v>
      </c>
      <c r="W3" s="6" t="s">
        <v>63</v>
      </c>
    </row>
    <row r="4" spans="1:25">
      <c r="A4" s="2" t="s">
        <v>4</v>
      </c>
      <c r="B4" s="3" t="s">
        <v>25</v>
      </c>
      <c r="E4" s="4" t="s">
        <v>29</v>
      </c>
      <c r="I4" s="4" t="s">
        <v>35</v>
      </c>
      <c r="K4" s="4" t="s">
        <v>38</v>
      </c>
      <c r="R4" s="4" t="s">
        <v>49</v>
      </c>
    </row>
    <row r="5" spans="1:25">
      <c r="A5" s="2" t="s">
        <v>5</v>
      </c>
      <c r="B5" s="5" t="s">
        <v>26</v>
      </c>
      <c r="E5" s="6" t="s">
        <v>30</v>
      </c>
      <c r="K5" s="6" t="s">
        <v>39</v>
      </c>
      <c r="R5" s="6" t="s">
        <v>50</v>
      </c>
    </row>
    <row r="6" spans="1:25">
      <c r="A6" s="2" t="s">
        <v>6</v>
      </c>
      <c r="B6" s="3" t="s">
        <v>25</v>
      </c>
      <c r="E6" s="4" t="s">
        <v>31</v>
      </c>
      <c r="K6" s="4" t="s">
        <v>40</v>
      </c>
      <c r="R6" s="4" t="s">
        <v>51</v>
      </c>
    </row>
    <row r="7" spans="1:25">
      <c r="A7" s="2" t="s">
        <v>7</v>
      </c>
      <c r="B7" s="5" t="s">
        <v>26</v>
      </c>
      <c r="E7" s="6" t="s">
        <v>32</v>
      </c>
      <c r="K7" s="6" t="s">
        <v>41</v>
      </c>
      <c r="R7" s="6" t="s">
        <v>52</v>
      </c>
    </row>
    <row r="8" spans="1:25">
      <c r="A8" s="2" t="s">
        <v>8</v>
      </c>
      <c r="B8" s="3" t="s">
        <v>25</v>
      </c>
      <c r="K8" s="4" t="s">
        <v>42</v>
      </c>
      <c r="R8" s="4" t="s">
        <v>53</v>
      </c>
    </row>
    <row r="9" spans="1:25">
      <c r="A9" s="2" t="s">
        <v>9</v>
      </c>
      <c r="B9" s="5" t="s">
        <v>26</v>
      </c>
      <c r="K9" s="6" t="s">
        <v>43</v>
      </c>
      <c r="R9" s="6" t="s">
        <v>54</v>
      </c>
    </row>
    <row r="10" spans="1:25">
      <c r="A10" s="2" t="s">
        <v>10</v>
      </c>
      <c r="B10" s="3" t="s">
        <v>25</v>
      </c>
      <c r="K10" s="4" t="s">
        <v>44</v>
      </c>
      <c r="R10" s="4" t="s">
        <v>55</v>
      </c>
    </row>
    <row r="11" spans="1:25">
      <c r="A11" s="2" t="s">
        <v>11</v>
      </c>
      <c r="B11" s="3" t="s">
        <v>25</v>
      </c>
      <c r="K11" s="6" t="s">
        <v>45</v>
      </c>
      <c r="R11" s="6" t="s">
        <v>56</v>
      </c>
    </row>
    <row r="12" spans="1:25">
      <c r="A12" s="2" t="s">
        <v>12</v>
      </c>
      <c r="B12" s="5" t="s">
        <v>26</v>
      </c>
      <c r="R12" s="4" t="s">
        <v>57</v>
      </c>
    </row>
    <row r="13" spans="1:25">
      <c r="A13" s="2" t="s">
        <v>13</v>
      </c>
      <c r="B13" s="3" t="s">
        <v>25</v>
      </c>
    </row>
    <row r="14" spans="1:25">
      <c r="A14" s="2" t="s">
        <v>14</v>
      </c>
      <c r="B14" s="3" t="s">
        <v>25</v>
      </c>
    </row>
    <row r="15" spans="1:25">
      <c r="A15" s="2" t="s">
        <v>15</v>
      </c>
      <c r="B15" s="5" t="s">
        <v>26</v>
      </c>
    </row>
    <row r="16" spans="1:25">
      <c r="A16" s="2" t="s">
        <v>16</v>
      </c>
      <c r="B16" s="5" t="s">
        <v>26</v>
      </c>
    </row>
    <row r="17" spans="1:2">
      <c r="A17" s="2" t="s">
        <v>17</v>
      </c>
      <c r="B17" s="3" t="s">
        <v>25</v>
      </c>
    </row>
    <row r="18" spans="1:2">
      <c r="A18" s="2" t="s">
        <v>18</v>
      </c>
      <c r="B18" s="3" t="s">
        <v>25</v>
      </c>
    </row>
    <row r="19" spans="1:2">
      <c r="A19" s="2" t="s">
        <v>19</v>
      </c>
      <c r="B19" s="5" t="s">
        <v>26</v>
      </c>
    </row>
    <row r="20" spans="1:2">
      <c r="A20" s="2" t="s">
        <v>20</v>
      </c>
      <c r="B20" s="3" t="s">
        <v>25</v>
      </c>
    </row>
    <row r="21" spans="1:2">
      <c r="A21" s="2" t="s">
        <v>21</v>
      </c>
      <c r="B21" s="3" t="s">
        <v>25</v>
      </c>
    </row>
    <row r="22" spans="1:2">
      <c r="A22" s="2" t="s">
        <v>22</v>
      </c>
      <c r="B22" s="3" t="s">
        <v>25</v>
      </c>
    </row>
    <row r="23" spans="1:2">
      <c r="A23" s="2" t="s">
        <v>23</v>
      </c>
      <c r="B23" s="3" t="s">
        <v>25</v>
      </c>
    </row>
    <row r="24" spans="1:2">
      <c r="A24" s="2" t="s">
        <v>24</v>
      </c>
      <c r="B24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2" width="28.7109375" customWidth="1"/>
    <col min="3" max="3" width="6.7109375" customWidth="1"/>
    <col min="4" max="4" width="14.7109375" customWidth="1"/>
    <col min="5" max="5" width="12.7109375" customWidth="1"/>
    <col min="6" max="6" width="9.7109375" customWidth="1"/>
    <col min="7" max="7" width="14.7109375" customWidth="1"/>
    <col min="8" max="9" width="18.7109375" customWidth="1"/>
    <col min="10" max="10" width="14.7109375" customWidth="1"/>
    <col min="11" max="11" width="22.7109375" customWidth="1"/>
    <col min="12" max="12" width="10.7109375" customWidth="1"/>
    <col min="13" max="13" width="18.7109375" customWidth="1"/>
    <col min="14" max="14" width="16.7109375" customWidth="1"/>
    <col min="15" max="15" width="30.7109375" customWidth="1"/>
  </cols>
  <sheetData>
    <row r="1" spans="1:15" ht="16" customHeight="1">
      <c r="A1" s="7" t="s">
        <v>64</v>
      </c>
      <c r="B1" s="7" t="s">
        <v>64</v>
      </c>
      <c r="C1" s="7" t="s">
        <v>64</v>
      </c>
      <c r="D1" s="8" t="s">
        <v>65</v>
      </c>
      <c r="E1" s="9" t="s">
        <v>64</v>
      </c>
      <c r="F1" s="10" t="s">
        <v>66</v>
      </c>
      <c r="G1" s="9" t="s">
        <v>64</v>
      </c>
      <c r="H1" s="11" t="s">
        <v>64</v>
      </c>
      <c r="I1" s="11" t="s">
        <v>64</v>
      </c>
      <c r="J1" s="12" t="s">
        <v>64</v>
      </c>
      <c r="K1" s="10" t="s">
        <v>66</v>
      </c>
      <c r="L1" s="13" t="s">
        <v>64</v>
      </c>
      <c r="M1" s="8" t="s">
        <v>65</v>
      </c>
      <c r="N1" s="8" t="s">
        <v>65</v>
      </c>
      <c r="O1" s="10" t="s">
        <v>66</v>
      </c>
    </row>
    <row r="2" spans="1:15" ht="38" customHeight="1">
      <c r="A2" s="14" t="s">
        <v>67</v>
      </c>
      <c r="B2" s="14" t="s">
        <v>68</v>
      </c>
      <c r="C2" s="14" t="s">
        <v>69</v>
      </c>
      <c r="D2" s="15" t="s">
        <v>70</v>
      </c>
      <c r="E2" s="16" t="s">
        <v>71</v>
      </c>
      <c r="F2" s="17" t="s">
        <v>72</v>
      </c>
      <c r="G2" s="16" t="s">
        <v>73</v>
      </c>
      <c r="H2" s="18" t="s">
        <v>74</v>
      </c>
      <c r="I2" s="18" t="s">
        <v>75</v>
      </c>
      <c r="J2" s="19" t="s">
        <v>76</v>
      </c>
      <c r="K2" s="17" t="s">
        <v>77</v>
      </c>
      <c r="L2" s="20" t="s">
        <v>78</v>
      </c>
      <c r="M2" s="19" t="s">
        <v>79</v>
      </c>
      <c r="N2" s="16" t="s">
        <v>80</v>
      </c>
      <c r="O2" s="17" t="s">
        <v>81</v>
      </c>
    </row>
    <row r="3" spans="1:15" ht="16" customHeight="1">
      <c r="A3" s="21" t="s">
        <v>82</v>
      </c>
      <c r="B3" s="21" t="s">
        <v>83</v>
      </c>
      <c r="C3" s="21" t="s">
        <v>84</v>
      </c>
      <c r="D3" s="21" t="s">
        <v>85</v>
      </c>
      <c r="E3" s="21" t="s">
        <v>86</v>
      </c>
      <c r="F3" s="21" t="s">
        <v>87</v>
      </c>
      <c r="G3" s="21" t="s">
        <v>88</v>
      </c>
      <c r="H3" s="21" t="s">
        <v>89</v>
      </c>
      <c r="I3" s="21" t="s">
        <v>89</v>
      </c>
      <c r="J3" s="21" t="s">
        <v>90</v>
      </c>
      <c r="K3" s="21" t="s">
        <v>91</v>
      </c>
      <c r="L3" s="21" t="s">
        <v>92</v>
      </c>
      <c r="M3" s="21">
        <f>(J+K)×L÷100</f>
        <v>0</v>
      </c>
      <c r="N3" s="21">
        <f>J+K</f>
        <v>0</v>
      </c>
      <c r="O3" s="21" t="s">
        <v>66</v>
      </c>
    </row>
    <row r="4" spans="1:15" ht="22" customHeight="1">
      <c r="A4" s="22" t="s">
        <v>2</v>
      </c>
      <c r="B4" s="22" t="s">
        <v>2</v>
      </c>
      <c r="C4" s="23">
        <v>1</v>
      </c>
      <c r="D4" s="24" t="str">
        <f>IF(A4="","",IFERROR(VLOOKUP(A4,Lists!$A$2:$B$24,2,0),""))</f>
        <v>ATL</v>
      </c>
      <c r="E4" s="23">
        <v>20</v>
      </c>
      <c r="F4" s="23"/>
      <c r="G4" s="23"/>
      <c r="H4" s="23" t="s">
        <v>93</v>
      </c>
      <c r="I4" s="23" t="s">
        <v>94</v>
      </c>
      <c r="J4" s="23">
        <v>50000</v>
      </c>
      <c r="K4" s="23">
        <v>0</v>
      </c>
      <c r="L4" s="23">
        <v>100</v>
      </c>
      <c r="M4" s="25">
        <f>IF(J4="","",ROUND((J4+K4)*L4/100,0))</f>
        <v>50000</v>
      </c>
      <c r="N4" s="25">
        <f>IF(J4="","",J4+K4)</f>
        <v>50000</v>
      </c>
      <c r="O4" s="22" t="s">
        <v>95</v>
      </c>
    </row>
    <row r="5" spans="1:15" ht="22" customHeight="1">
      <c r="A5" s="22" t="s">
        <v>3</v>
      </c>
      <c r="B5" s="22" t="s">
        <v>3</v>
      </c>
      <c r="C5" s="23">
        <v>1</v>
      </c>
      <c r="D5" s="24" t="str">
        <f>IF(A5="","",IFERROR(VLOOKUP(A5,Lists!$A$2:$B$24,2,0),""))</f>
        <v>BTL</v>
      </c>
      <c r="E5" s="23">
        <v>20</v>
      </c>
      <c r="F5" s="23"/>
      <c r="G5" s="23"/>
      <c r="H5" s="23" t="s">
        <v>93</v>
      </c>
      <c r="I5" s="23" t="s">
        <v>94</v>
      </c>
      <c r="J5" s="23">
        <v>50000</v>
      </c>
      <c r="K5" s="23">
        <v>0</v>
      </c>
      <c r="L5" s="23">
        <v>100</v>
      </c>
      <c r="M5" s="25">
        <f>IF(J5="","",ROUND((J5+K5)*L5/100,0))</f>
        <v>50000</v>
      </c>
      <c r="N5" s="25">
        <f>IF(J5="","",J5+K5)</f>
        <v>50000</v>
      </c>
      <c r="O5" s="22"/>
    </row>
    <row r="6" spans="1:15" ht="22" customHeight="1">
      <c r="A6" s="22" t="s">
        <v>4</v>
      </c>
      <c r="B6" s="22" t="s">
        <v>27</v>
      </c>
      <c r="C6" s="23">
        <v>1</v>
      </c>
      <c r="D6" s="24" t="str">
        <f>IF(A6="","",IFERROR(VLOOKUP(A6,Lists!$A$2:$B$24,2,0),""))</f>
        <v>ATL</v>
      </c>
      <c r="E6" s="23">
        <v>20</v>
      </c>
      <c r="F6" s="23"/>
      <c r="G6" s="23"/>
      <c r="H6" s="23" t="s">
        <v>93</v>
      </c>
      <c r="I6" s="23" t="s">
        <v>94</v>
      </c>
      <c r="J6" s="23">
        <v>50000</v>
      </c>
      <c r="K6" s="23">
        <v>0</v>
      </c>
      <c r="L6" s="23">
        <v>100</v>
      </c>
      <c r="M6" s="25">
        <f>IF(J6="","",ROUND((J6+K6)*L6/100,0))</f>
        <v>50000</v>
      </c>
      <c r="N6" s="25">
        <f>IF(J6="","",J6+K6)</f>
        <v>50000</v>
      </c>
      <c r="O6" s="22"/>
    </row>
    <row r="7" spans="1:15" ht="22" customHeight="1">
      <c r="A7" s="26"/>
      <c r="B7" s="26"/>
      <c r="C7" s="27"/>
      <c r="D7" s="25">
        <f>IF(A7="","",IFERROR(VLOOKUP(A7,Lists!$A$2:$B$24,2,0),""))</f>
        <v/>
      </c>
      <c r="E7" s="27"/>
      <c r="F7" s="27"/>
      <c r="G7" s="27"/>
      <c r="H7" s="26"/>
      <c r="I7" s="26"/>
      <c r="J7" s="27"/>
      <c r="K7" s="27"/>
      <c r="L7" s="27"/>
      <c r="M7" s="25">
        <f>IF(J7="","",ROUND((J7+K7)*L7/100,0))</f>
        <v/>
      </c>
      <c r="N7" s="25">
        <f>IF(J7="","",J7+K7)</f>
        <v/>
      </c>
      <c r="O7" s="26"/>
    </row>
    <row r="8" spans="1:15" ht="22" customHeight="1">
      <c r="A8" s="28"/>
      <c r="B8" s="28"/>
      <c r="C8" s="29"/>
      <c r="D8" s="25">
        <f>IF(A8="","",IFERROR(VLOOKUP(A8,Lists!$A$2:$B$24,2,0),""))</f>
        <v/>
      </c>
      <c r="E8" s="29"/>
      <c r="F8" s="29"/>
      <c r="G8" s="29"/>
      <c r="H8" s="28"/>
      <c r="I8" s="28"/>
      <c r="J8" s="29"/>
      <c r="K8" s="29"/>
      <c r="L8" s="29"/>
      <c r="M8" s="25">
        <f>IF(J8="","",ROUND((J8+K8)*L8/100,0))</f>
        <v/>
      </c>
      <c r="N8" s="25">
        <f>IF(J8="","",J8+K8)</f>
        <v/>
      </c>
      <c r="O8" s="28"/>
    </row>
    <row r="9" spans="1:15" ht="22" customHeight="1">
      <c r="A9" s="26"/>
      <c r="B9" s="26"/>
      <c r="C9" s="27"/>
      <c r="D9" s="25">
        <f>IF(A9="","",IFERROR(VLOOKUP(A9,Lists!$A$2:$B$24,2,0),""))</f>
        <v/>
      </c>
      <c r="E9" s="27"/>
      <c r="F9" s="27"/>
      <c r="G9" s="27"/>
      <c r="H9" s="26"/>
      <c r="I9" s="26"/>
      <c r="J9" s="27"/>
      <c r="K9" s="27"/>
      <c r="L9" s="27"/>
      <c r="M9" s="25">
        <f>IF(J9="","",ROUND((J9+K9)*L9/100,0))</f>
        <v/>
      </c>
      <c r="N9" s="25">
        <f>IF(J9="","",J9+K9)</f>
        <v/>
      </c>
      <c r="O9" s="26"/>
    </row>
    <row r="10" spans="1:15" ht="22" customHeight="1">
      <c r="A10" s="28"/>
      <c r="B10" s="28"/>
      <c r="C10" s="29"/>
      <c r="D10" s="25">
        <f>IF(A10="","",IFERROR(VLOOKUP(A10,Lists!$A$2:$B$24,2,0),""))</f>
        <v/>
      </c>
      <c r="E10" s="29"/>
      <c r="F10" s="29"/>
      <c r="G10" s="29"/>
      <c r="H10" s="28"/>
      <c r="I10" s="28"/>
      <c r="J10" s="29"/>
      <c r="K10" s="29"/>
      <c r="L10" s="29"/>
      <c r="M10" s="25">
        <f>IF(J10="","",ROUND((J10+K10)*L10/100,0))</f>
        <v/>
      </c>
      <c r="N10" s="25">
        <f>IF(J10="","",J10+K10)</f>
        <v/>
      </c>
      <c r="O10" s="28"/>
    </row>
    <row r="11" spans="1:15" ht="22" customHeight="1">
      <c r="A11" s="26"/>
      <c r="B11" s="26"/>
      <c r="C11" s="27"/>
      <c r="D11" s="25">
        <f>IF(A11="","",IFERROR(VLOOKUP(A11,Lists!$A$2:$B$24,2,0),""))</f>
        <v/>
      </c>
      <c r="E11" s="27"/>
      <c r="F11" s="27"/>
      <c r="G11" s="27"/>
      <c r="H11" s="26"/>
      <c r="I11" s="26"/>
      <c r="J11" s="27"/>
      <c r="K11" s="27"/>
      <c r="L11" s="27"/>
      <c r="M11" s="25">
        <f>IF(J11="","",ROUND((J11+K11)*L11/100,0))</f>
        <v/>
      </c>
      <c r="N11" s="25">
        <f>IF(J11="","",J11+K11)</f>
        <v/>
      </c>
      <c r="O11" s="26"/>
    </row>
    <row r="12" spans="1:15" ht="22" customHeight="1">
      <c r="A12" s="28"/>
      <c r="B12" s="28"/>
      <c r="C12" s="29"/>
      <c r="D12" s="25">
        <f>IF(A12="","",IFERROR(VLOOKUP(A12,Lists!$A$2:$B$24,2,0),""))</f>
        <v/>
      </c>
      <c r="E12" s="29"/>
      <c r="F12" s="29"/>
      <c r="G12" s="29"/>
      <c r="H12" s="28"/>
      <c r="I12" s="28"/>
      <c r="J12" s="29"/>
      <c r="K12" s="29"/>
      <c r="L12" s="29"/>
      <c r="M12" s="25">
        <f>IF(J12="","",ROUND((J12+K12)*L12/100,0))</f>
        <v/>
      </c>
      <c r="N12" s="25">
        <f>IF(J12="","",J12+K12)</f>
        <v/>
      </c>
      <c r="O12" s="28"/>
    </row>
    <row r="13" spans="1:15" ht="22" customHeight="1">
      <c r="A13" s="26"/>
      <c r="B13" s="26"/>
      <c r="C13" s="27"/>
      <c r="D13" s="25">
        <f>IF(A13="","",IFERROR(VLOOKUP(A13,Lists!$A$2:$B$24,2,0),""))</f>
        <v/>
      </c>
      <c r="E13" s="27"/>
      <c r="F13" s="27"/>
      <c r="G13" s="27"/>
      <c r="H13" s="26"/>
      <c r="I13" s="26"/>
      <c r="J13" s="27"/>
      <c r="K13" s="27"/>
      <c r="L13" s="27"/>
      <c r="M13" s="25">
        <f>IF(J13="","",ROUND((J13+K13)*L13/100,0))</f>
        <v/>
      </c>
      <c r="N13" s="25">
        <f>IF(J13="","",J13+K13)</f>
        <v/>
      </c>
      <c r="O13" s="26"/>
    </row>
    <row r="14" spans="1:15" ht="22" customHeight="1">
      <c r="A14" s="28"/>
      <c r="B14" s="28"/>
      <c r="C14" s="29"/>
      <c r="D14" s="25">
        <f>IF(A14="","",IFERROR(VLOOKUP(A14,Lists!$A$2:$B$24,2,0),""))</f>
        <v/>
      </c>
      <c r="E14" s="29"/>
      <c r="F14" s="29"/>
      <c r="G14" s="29"/>
      <c r="H14" s="28"/>
      <c r="I14" s="28"/>
      <c r="J14" s="29"/>
      <c r="K14" s="29"/>
      <c r="L14" s="29"/>
      <c r="M14" s="25">
        <f>IF(J14="","",ROUND((J14+K14)*L14/100,0))</f>
        <v/>
      </c>
      <c r="N14" s="25">
        <f>IF(J14="","",J14+K14)</f>
        <v/>
      </c>
      <c r="O14" s="28"/>
    </row>
    <row r="15" spans="1:15" ht="22" customHeight="1">
      <c r="A15" s="26"/>
      <c r="B15" s="26"/>
      <c r="C15" s="27"/>
      <c r="D15" s="25">
        <f>IF(A15="","",IFERROR(VLOOKUP(A15,Lists!$A$2:$B$24,2,0),""))</f>
        <v/>
      </c>
      <c r="E15" s="27"/>
      <c r="F15" s="27"/>
      <c r="G15" s="27"/>
      <c r="H15" s="26"/>
      <c r="I15" s="26"/>
      <c r="J15" s="27"/>
      <c r="K15" s="27"/>
      <c r="L15" s="27"/>
      <c r="M15" s="25">
        <f>IF(J15="","",ROUND((J15+K15)*L15/100,0))</f>
        <v/>
      </c>
      <c r="N15" s="25">
        <f>IF(J15="","",J15+K15)</f>
        <v/>
      </c>
      <c r="O15" s="26"/>
    </row>
    <row r="16" spans="1:15" ht="22" customHeight="1">
      <c r="A16" s="28"/>
      <c r="B16" s="28"/>
      <c r="C16" s="29"/>
      <c r="D16" s="25">
        <f>IF(A16="","",IFERROR(VLOOKUP(A16,Lists!$A$2:$B$24,2,0),""))</f>
        <v/>
      </c>
      <c r="E16" s="29"/>
      <c r="F16" s="29"/>
      <c r="G16" s="29"/>
      <c r="H16" s="28"/>
      <c r="I16" s="28"/>
      <c r="J16" s="29"/>
      <c r="K16" s="29"/>
      <c r="L16" s="29"/>
      <c r="M16" s="25">
        <f>IF(J16="","",ROUND((J16+K16)*L16/100,0))</f>
        <v/>
      </c>
      <c r="N16" s="25">
        <f>IF(J16="","",J16+K16)</f>
        <v/>
      </c>
      <c r="O16" s="28"/>
    </row>
    <row r="17" spans="1:15" ht="22" customHeight="1">
      <c r="A17" s="26"/>
      <c r="B17" s="26"/>
      <c r="C17" s="27"/>
      <c r="D17" s="25">
        <f>IF(A17="","",IFERROR(VLOOKUP(A17,Lists!$A$2:$B$24,2,0),""))</f>
        <v/>
      </c>
      <c r="E17" s="27"/>
      <c r="F17" s="27"/>
      <c r="G17" s="27"/>
      <c r="H17" s="26"/>
      <c r="I17" s="26"/>
      <c r="J17" s="27"/>
      <c r="K17" s="27"/>
      <c r="L17" s="27"/>
      <c r="M17" s="25">
        <f>IF(J17="","",ROUND((J17+K17)*L17/100,0))</f>
        <v/>
      </c>
      <c r="N17" s="25">
        <f>IF(J17="","",J17+K17)</f>
        <v/>
      </c>
      <c r="O17" s="26"/>
    </row>
    <row r="18" spans="1:15" ht="22" customHeight="1">
      <c r="A18" s="28"/>
      <c r="B18" s="28"/>
      <c r="C18" s="29"/>
      <c r="D18" s="25">
        <f>IF(A18="","",IFERROR(VLOOKUP(A18,Lists!$A$2:$B$24,2,0),""))</f>
        <v/>
      </c>
      <c r="E18" s="29"/>
      <c r="F18" s="29"/>
      <c r="G18" s="29"/>
      <c r="H18" s="28"/>
      <c r="I18" s="28"/>
      <c r="J18" s="29"/>
      <c r="K18" s="29"/>
      <c r="L18" s="29"/>
      <c r="M18" s="25">
        <f>IF(J18="","",ROUND((J18+K18)*L18/100,0))</f>
        <v/>
      </c>
      <c r="N18" s="25">
        <f>IF(J18="","",J18+K18)</f>
        <v/>
      </c>
      <c r="O18" s="28"/>
    </row>
    <row r="19" spans="1:15" ht="22" customHeight="1">
      <c r="A19" s="26"/>
      <c r="B19" s="26"/>
      <c r="C19" s="27"/>
      <c r="D19" s="25">
        <f>IF(A19="","",IFERROR(VLOOKUP(A19,Lists!$A$2:$B$24,2,0),""))</f>
        <v/>
      </c>
      <c r="E19" s="27"/>
      <c r="F19" s="27"/>
      <c r="G19" s="27"/>
      <c r="H19" s="26"/>
      <c r="I19" s="26"/>
      <c r="J19" s="27"/>
      <c r="K19" s="27"/>
      <c r="L19" s="27"/>
      <c r="M19" s="25">
        <f>IF(J19="","",ROUND((J19+K19)*L19/100,0))</f>
        <v/>
      </c>
      <c r="N19" s="25">
        <f>IF(J19="","",J19+K19)</f>
        <v/>
      </c>
      <c r="O19" s="26"/>
    </row>
    <row r="20" spans="1:15" ht="22" customHeight="1">
      <c r="A20" s="28"/>
      <c r="B20" s="28"/>
      <c r="C20" s="29"/>
      <c r="D20" s="25">
        <f>IF(A20="","",IFERROR(VLOOKUP(A20,Lists!$A$2:$B$24,2,0),""))</f>
        <v/>
      </c>
      <c r="E20" s="29"/>
      <c r="F20" s="29"/>
      <c r="G20" s="29"/>
      <c r="H20" s="28"/>
      <c r="I20" s="28"/>
      <c r="J20" s="29"/>
      <c r="K20" s="29"/>
      <c r="L20" s="29"/>
      <c r="M20" s="25">
        <f>IF(J20="","",ROUND((J20+K20)*L20/100,0))</f>
        <v/>
      </c>
      <c r="N20" s="25">
        <f>IF(J20="","",J20+K20)</f>
        <v/>
      </c>
      <c r="O20" s="28"/>
    </row>
    <row r="21" spans="1:15" ht="22" customHeight="1">
      <c r="A21" s="26"/>
      <c r="B21" s="26"/>
      <c r="C21" s="27"/>
      <c r="D21" s="25">
        <f>IF(A21="","",IFERROR(VLOOKUP(A21,Lists!$A$2:$B$24,2,0),""))</f>
        <v/>
      </c>
      <c r="E21" s="27"/>
      <c r="F21" s="27"/>
      <c r="G21" s="27"/>
      <c r="H21" s="26"/>
      <c r="I21" s="26"/>
      <c r="J21" s="27"/>
      <c r="K21" s="27"/>
      <c r="L21" s="27"/>
      <c r="M21" s="25">
        <f>IF(J21="","",ROUND((J21+K21)*L21/100,0))</f>
        <v/>
      </c>
      <c r="N21" s="25">
        <f>IF(J21="","",J21+K21)</f>
        <v/>
      </c>
      <c r="O21" s="26"/>
    </row>
    <row r="22" spans="1:15" ht="22" customHeight="1">
      <c r="A22" s="28"/>
      <c r="B22" s="28"/>
      <c r="C22" s="29"/>
      <c r="D22" s="25">
        <f>IF(A22="","",IFERROR(VLOOKUP(A22,Lists!$A$2:$B$24,2,0),""))</f>
        <v/>
      </c>
      <c r="E22" s="29"/>
      <c r="F22" s="29"/>
      <c r="G22" s="29"/>
      <c r="H22" s="28"/>
      <c r="I22" s="28"/>
      <c r="J22" s="29"/>
      <c r="K22" s="29"/>
      <c r="L22" s="29"/>
      <c r="M22" s="25">
        <f>IF(J22="","",ROUND((J22+K22)*L22/100,0))</f>
        <v/>
      </c>
      <c r="N22" s="25">
        <f>IF(J22="","",J22+K22)</f>
        <v/>
      </c>
      <c r="O22" s="28"/>
    </row>
    <row r="23" spans="1:15" ht="22" customHeight="1">
      <c r="A23" s="26"/>
      <c r="B23" s="26"/>
      <c r="C23" s="27"/>
      <c r="D23" s="25">
        <f>IF(A23="","",IFERROR(VLOOKUP(A23,Lists!$A$2:$B$24,2,0),""))</f>
        <v/>
      </c>
      <c r="E23" s="27"/>
      <c r="F23" s="27"/>
      <c r="G23" s="27"/>
      <c r="H23" s="26"/>
      <c r="I23" s="26"/>
      <c r="J23" s="27"/>
      <c r="K23" s="27"/>
      <c r="L23" s="27"/>
      <c r="M23" s="25">
        <f>IF(J23="","",ROUND((J23+K23)*L23/100,0))</f>
        <v/>
      </c>
      <c r="N23" s="25">
        <f>IF(J23="","",J23+K23)</f>
        <v/>
      </c>
      <c r="O23" s="26"/>
    </row>
    <row r="24" spans="1:15" ht="22" customHeight="1">
      <c r="A24" s="28"/>
      <c r="B24" s="28"/>
      <c r="C24" s="29"/>
      <c r="D24" s="25">
        <f>IF(A24="","",IFERROR(VLOOKUP(A24,Lists!$A$2:$B$24,2,0),""))</f>
        <v/>
      </c>
      <c r="E24" s="29"/>
      <c r="F24" s="29"/>
      <c r="G24" s="29"/>
      <c r="H24" s="28"/>
      <c r="I24" s="28"/>
      <c r="J24" s="29"/>
      <c r="K24" s="29"/>
      <c r="L24" s="29"/>
      <c r="M24" s="25">
        <f>IF(J24="","",ROUND((J24+K24)*L24/100,0))</f>
        <v/>
      </c>
      <c r="N24" s="25">
        <f>IF(J24="","",J24+K24)</f>
        <v/>
      </c>
      <c r="O24" s="28"/>
    </row>
    <row r="25" spans="1:15" ht="22" customHeight="1">
      <c r="A25" s="26"/>
      <c r="B25" s="26"/>
      <c r="C25" s="27"/>
      <c r="D25" s="25">
        <f>IF(A25="","",IFERROR(VLOOKUP(A25,Lists!$A$2:$B$24,2,0),""))</f>
        <v/>
      </c>
      <c r="E25" s="27"/>
      <c r="F25" s="27"/>
      <c r="G25" s="27"/>
      <c r="H25" s="26"/>
      <c r="I25" s="26"/>
      <c r="J25" s="27"/>
      <c r="K25" s="27"/>
      <c r="L25" s="27"/>
      <c r="M25" s="25">
        <f>IF(J25="","",ROUND((J25+K25)*L25/100,0))</f>
        <v/>
      </c>
      <c r="N25" s="25">
        <f>IF(J25="","",J25+K25)</f>
        <v/>
      </c>
      <c r="O25" s="26"/>
    </row>
    <row r="26" spans="1:15" ht="22" customHeight="1">
      <c r="A26" s="28"/>
      <c r="B26" s="28"/>
      <c r="C26" s="29"/>
      <c r="D26" s="25">
        <f>IF(A26="","",IFERROR(VLOOKUP(A26,Lists!$A$2:$B$24,2,0),""))</f>
        <v/>
      </c>
      <c r="E26" s="29"/>
      <c r="F26" s="29"/>
      <c r="G26" s="29"/>
      <c r="H26" s="28"/>
      <c r="I26" s="28"/>
      <c r="J26" s="29"/>
      <c r="K26" s="29"/>
      <c r="L26" s="29"/>
      <c r="M26" s="25">
        <f>IF(J26="","",ROUND((J26+K26)*L26/100,0))</f>
        <v/>
      </c>
      <c r="N26" s="25">
        <f>IF(J26="","",J26+K26)</f>
        <v/>
      </c>
      <c r="O26" s="28"/>
    </row>
    <row r="27" spans="1:15" ht="22" customHeight="1">
      <c r="A27" s="26"/>
      <c r="B27" s="26"/>
      <c r="C27" s="27"/>
      <c r="D27" s="25">
        <f>IF(A27="","",IFERROR(VLOOKUP(A27,Lists!$A$2:$B$24,2,0),""))</f>
        <v/>
      </c>
      <c r="E27" s="27"/>
      <c r="F27" s="27"/>
      <c r="G27" s="27"/>
      <c r="H27" s="26"/>
      <c r="I27" s="26"/>
      <c r="J27" s="27"/>
      <c r="K27" s="27"/>
      <c r="L27" s="27"/>
      <c r="M27" s="25">
        <f>IF(J27="","",ROUND((J27+K27)*L27/100,0))</f>
        <v/>
      </c>
      <c r="N27" s="25">
        <f>IF(J27="","",J27+K27)</f>
        <v/>
      </c>
      <c r="O27" s="26"/>
    </row>
    <row r="28" spans="1:15" ht="22" customHeight="1">
      <c r="A28" s="28"/>
      <c r="B28" s="28"/>
      <c r="C28" s="29"/>
      <c r="D28" s="25">
        <f>IF(A28="","",IFERROR(VLOOKUP(A28,Lists!$A$2:$B$24,2,0),""))</f>
        <v/>
      </c>
      <c r="E28" s="29"/>
      <c r="F28" s="29"/>
      <c r="G28" s="29"/>
      <c r="H28" s="28"/>
      <c r="I28" s="28"/>
      <c r="J28" s="29"/>
      <c r="K28" s="29"/>
      <c r="L28" s="29"/>
      <c r="M28" s="25">
        <f>IF(J28="","",ROUND((J28+K28)*L28/100,0))</f>
        <v/>
      </c>
      <c r="N28" s="25">
        <f>IF(J28="","",J28+K28)</f>
        <v/>
      </c>
      <c r="O28" s="28"/>
    </row>
    <row r="29" spans="1:15" ht="22" customHeight="1">
      <c r="A29" s="26"/>
      <c r="B29" s="26"/>
      <c r="C29" s="27"/>
      <c r="D29" s="25">
        <f>IF(A29="","",IFERROR(VLOOKUP(A29,Lists!$A$2:$B$24,2,0),""))</f>
        <v/>
      </c>
      <c r="E29" s="27"/>
      <c r="F29" s="27"/>
      <c r="G29" s="27"/>
      <c r="H29" s="26"/>
      <c r="I29" s="26"/>
      <c r="J29" s="27"/>
      <c r="K29" s="27"/>
      <c r="L29" s="27"/>
      <c r="M29" s="25">
        <f>IF(J29="","",ROUND((J29+K29)*L29/100,0))</f>
        <v/>
      </c>
      <c r="N29" s="25">
        <f>IF(J29="","",J29+K29)</f>
        <v/>
      </c>
      <c r="O29" s="26"/>
    </row>
    <row r="30" spans="1:15" ht="22" customHeight="1">
      <c r="A30" s="28"/>
      <c r="B30" s="28"/>
      <c r="C30" s="29"/>
      <c r="D30" s="25">
        <f>IF(A30="","",IFERROR(VLOOKUP(A30,Lists!$A$2:$B$24,2,0),""))</f>
        <v/>
      </c>
      <c r="E30" s="29"/>
      <c r="F30" s="29"/>
      <c r="G30" s="29"/>
      <c r="H30" s="28"/>
      <c r="I30" s="28"/>
      <c r="J30" s="29"/>
      <c r="K30" s="29"/>
      <c r="L30" s="29"/>
      <c r="M30" s="25">
        <f>IF(J30="","",ROUND((J30+K30)*L30/100,0))</f>
        <v/>
      </c>
      <c r="N30" s="25">
        <f>IF(J30="","",J30+K30)</f>
        <v/>
      </c>
      <c r="O30" s="28"/>
    </row>
    <row r="31" spans="1:15" ht="22" customHeight="1">
      <c r="A31" s="26"/>
      <c r="B31" s="26"/>
      <c r="C31" s="27"/>
      <c r="D31" s="25">
        <f>IF(A31="","",IFERROR(VLOOKUP(A31,Lists!$A$2:$B$24,2,0),""))</f>
        <v/>
      </c>
      <c r="E31" s="27"/>
      <c r="F31" s="27"/>
      <c r="G31" s="27"/>
      <c r="H31" s="26"/>
      <c r="I31" s="26"/>
      <c r="J31" s="27"/>
      <c r="K31" s="27"/>
      <c r="L31" s="27"/>
      <c r="M31" s="25">
        <f>IF(J31="","",ROUND((J31+K31)*L31/100,0))</f>
        <v/>
      </c>
      <c r="N31" s="25">
        <f>IF(J31="","",J31+K31)</f>
        <v/>
      </c>
      <c r="O31" s="26"/>
    </row>
    <row r="32" spans="1:15" ht="22" customHeight="1">
      <c r="A32" s="28"/>
      <c r="B32" s="28"/>
      <c r="C32" s="29"/>
      <c r="D32" s="25">
        <f>IF(A32="","",IFERROR(VLOOKUP(A32,Lists!$A$2:$B$24,2,0),""))</f>
        <v/>
      </c>
      <c r="E32" s="29"/>
      <c r="F32" s="29"/>
      <c r="G32" s="29"/>
      <c r="H32" s="28"/>
      <c r="I32" s="28"/>
      <c r="J32" s="29"/>
      <c r="K32" s="29"/>
      <c r="L32" s="29"/>
      <c r="M32" s="25">
        <f>IF(J32="","",ROUND((J32+K32)*L32/100,0))</f>
        <v/>
      </c>
      <c r="N32" s="25">
        <f>IF(J32="","",J32+K32)</f>
        <v/>
      </c>
      <c r="O32" s="28"/>
    </row>
    <row r="33" spans="1:15" ht="22" customHeight="1">
      <c r="A33" s="26"/>
      <c r="B33" s="26"/>
      <c r="C33" s="27"/>
      <c r="D33" s="25">
        <f>IF(A33="","",IFERROR(VLOOKUP(A33,Lists!$A$2:$B$24,2,0),""))</f>
        <v/>
      </c>
      <c r="E33" s="27"/>
      <c r="F33" s="27"/>
      <c r="G33" s="27"/>
      <c r="H33" s="26"/>
      <c r="I33" s="26"/>
      <c r="J33" s="27"/>
      <c r="K33" s="27"/>
      <c r="L33" s="27"/>
      <c r="M33" s="25">
        <f>IF(J33="","",ROUND((J33+K33)*L33/100,0))</f>
        <v/>
      </c>
      <c r="N33" s="25">
        <f>IF(J33="","",J33+K33)</f>
        <v/>
      </c>
      <c r="O33" s="26"/>
    </row>
    <row r="34" spans="1:15" ht="22" customHeight="1">
      <c r="A34" s="28"/>
      <c r="B34" s="28"/>
      <c r="C34" s="29"/>
      <c r="D34" s="25">
        <f>IF(A34="","",IFERROR(VLOOKUP(A34,Lists!$A$2:$B$24,2,0),""))</f>
        <v/>
      </c>
      <c r="E34" s="29"/>
      <c r="F34" s="29"/>
      <c r="G34" s="29"/>
      <c r="H34" s="28"/>
      <c r="I34" s="28"/>
      <c r="J34" s="29"/>
      <c r="K34" s="29"/>
      <c r="L34" s="29"/>
      <c r="M34" s="25">
        <f>IF(J34="","",ROUND((J34+K34)*L34/100,0))</f>
        <v/>
      </c>
      <c r="N34" s="25">
        <f>IF(J34="","",J34+K34)</f>
        <v/>
      </c>
      <c r="O34" s="28"/>
    </row>
    <row r="35" spans="1:15" ht="22" customHeight="1">
      <c r="A35" s="26"/>
      <c r="B35" s="26"/>
      <c r="C35" s="27"/>
      <c r="D35" s="25">
        <f>IF(A35="","",IFERROR(VLOOKUP(A35,Lists!$A$2:$B$24,2,0),""))</f>
        <v/>
      </c>
      <c r="E35" s="27"/>
      <c r="F35" s="27"/>
      <c r="G35" s="27"/>
      <c r="H35" s="26"/>
      <c r="I35" s="26"/>
      <c r="J35" s="27"/>
      <c r="K35" s="27"/>
      <c r="L35" s="27"/>
      <c r="M35" s="25">
        <f>IF(J35="","",ROUND((J35+K35)*L35/100,0))</f>
        <v/>
      </c>
      <c r="N35" s="25">
        <f>IF(J35="","",J35+K35)</f>
        <v/>
      </c>
      <c r="O35" s="26"/>
    </row>
    <row r="36" spans="1:15" ht="22" customHeight="1">
      <c r="A36" s="28"/>
      <c r="B36" s="28"/>
      <c r="C36" s="29"/>
      <c r="D36" s="25">
        <f>IF(A36="","",IFERROR(VLOOKUP(A36,Lists!$A$2:$B$24,2,0),""))</f>
        <v/>
      </c>
      <c r="E36" s="29"/>
      <c r="F36" s="29"/>
      <c r="G36" s="29"/>
      <c r="H36" s="28"/>
      <c r="I36" s="28"/>
      <c r="J36" s="29"/>
      <c r="K36" s="29"/>
      <c r="L36" s="29"/>
      <c r="M36" s="25">
        <f>IF(J36="","",ROUND((J36+K36)*L36/100,0))</f>
        <v/>
      </c>
      <c r="N36" s="25">
        <f>IF(J36="","",J36+K36)</f>
        <v/>
      </c>
      <c r="O36" s="28"/>
    </row>
    <row r="37" spans="1:15" ht="22" customHeight="1">
      <c r="A37" s="26"/>
      <c r="B37" s="26"/>
      <c r="C37" s="27"/>
      <c r="D37" s="25">
        <f>IF(A37="","",IFERROR(VLOOKUP(A37,Lists!$A$2:$B$24,2,0),""))</f>
        <v/>
      </c>
      <c r="E37" s="27"/>
      <c r="F37" s="27"/>
      <c r="G37" s="27"/>
      <c r="H37" s="26"/>
      <c r="I37" s="26"/>
      <c r="J37" s="27"/>
      <c r="K37" s="27"/>
      <c r="L37" s="27"/>
      <c r="M37" s="25">
        <f>IF(J37="","",ROUND((J37+K37)*L37/100,0))</f>
        <v/>
      </c>
      <c r="N37" s="25">
        <f>IF(J37="","",J37+K37)</f>
        <v/>
      </c>
      <c r="O37" s="26"/>
    </row>
    <row r="38" spans="1:15" ht="22" customHeight="1">
      <c r="A38" s="28"/>
      <c r="B38" s="28"/>
      <c r="C38" s="29"/>
      <c r="D38" s="25">
        <f>IF(A38="","",IFERROR(VLOOKUP(A38,Lists!$A$2:$B$24,2,0),""))</f>
        <v/>
      </c>
      <c r="E38" s="29"/>
      <c r="F38" s="29"/>
      <c r="G38" s="29"/>
      <c r="H38" s="28"/>
      <c r="I38" s="28"/>
      <c r="J38" s="29"/>
      <c r="K38" s="29"/>
      <c r="L38" s="29"/>
      <c r="M38" s="25">
        <f>IF(J38="","",ROUND((J38+K38)*L38/100,0))</f>
        <v/>
      </c>
      <c r="N38" s="25">
        <f>IF(J38="","",J38+K38)</f>
        <v/>
      </c>
      <c r="O38" s="28"/>
    </row>
    <row r="39" spans="1:15" ht="22" customHeight="1">
      <c r="A39" s="26"/>
      <c r="B39" s="26"/>
      <c r="C39" s="27"/>
      <c r="D39" s="25">
        <f>IF(A39="","",IFERROR(VLOOKUP(A39,Lists!$A$2:$B$24,2,0),""))</f>
        <v/>
      </c>
      <c r="E39" s="27"/>
      <c r="F39" s="27"/>
      <c r="G39" s="27"/>
      <c r="H39" s="26"/>
      <c r="I39" s="26"/>
      <c r="J39" s="27"/>
      <c r="K39" s="27"/>
      <c r="L39" s="27"/>
      <c r="M39" s="25">
        <f>IF(J39="","",ROUND((J39+K39)*L39/100,0))</f>
        <v/>
      </c>
      <c r="N39" s="25">
        <f>IF(J39="","",J39+K39)</f>
        <v/>
      </c>
      <c r="O39" s="26"/>
    </row>
    <row r="40" spans="1:15" ht="22" customHeight="1">
      <c r="A40" s="28"/>
      <c r="B40" s="28"/>
      <c r="C40" s="29"/>
      <c r="D40" s="25">
        <f>IF(A40="","",IFERROR(VLOOKUP(A40,Lists!$A$2:$B$24,2,0),""))</f>
        <v/>
      </c>
      <c r="E40" s="29"/>
      <c r="F40" s="29"/>
      <c r="G40" s="29"/>
      <c r="H40" s="28"/>
      <c r="I40" s="28"/>
      <c r="J40" s="29"/>
      <c r="K40" s="29"/>
      <c r="L40" s="29"/>
      <c r="M40" s="25">
        <f>IF(J40="","",ROUND((J40+K40)*L40/100,0))</f>
        <v/>
      </c>
      <c r="N40" s="25">
        <f>IF(J40="","",J40+K40)</f>
        <v/>
      </c>
      <c r="O40" s="28"/>
    </row>
    <row r="41" spans="1:15" ht="22" customHeight="1">
      <c r="A41" s="26"/>
      <c r="B41" s="26"/>
      <c r="C41" s="27"/>
      <c r="D41" s="25">
        <f>IF(A41="","",IFERROR(VLOOKUP(A41,Lists!$A$2:$B$24,2,0),""))</f>
        <v/>
      </c>
      <c r="E41" s="27"/>
      <c r="F41" s="27"/>
      <c r="G41" s="27"/>
      <c r="H41" s="26"/>
      <c r="I41" s="26"/>
      <c r="J41" s="27"/>
      <c r="K41" s="27"/>
      <c r="L41" s="27"/>
      <c r="M41" s="25">
        <f>IF(J41="","",ROUND((J41+K41)*L41/100,0))</f>
        <v/>
      </c>
      <c r="N41" s="25">
        <f>IF(J41="","",J41+K41)</f>
        <v/>
      </c>
      <c r="O41" s="26"/>
    </row>
    <row r="42" spans="1:15" ht="22" customHeight="1">
      <c r="A42" s="28"/>
      <c r="B42" s="28"/>
      <c r="C42" s="29"/>
      <c r="D42" s="25">
        <f>IF(A42="","",IFERROR(VLOOKUP(A42,Lists!$A$2:$B$24,2,0),""))</f>
        <v/>
      </c>
      <c r="E42" s="29"/>
      <c r="F42" s="29"/>
      <c r="G42" s="29"/>
      <c r="H42" s="28"/>
      <c r="I42" s="28"/>
      <c r="J42" s="29"/>
      <c r="K42" s="29"/>
      <c r="L42" s="29"/>
      <c r="M42" s="25">
        <f>IF(J42="","",ROUND((J42+K42)*L42/100,0))</f>
        <v/>
      </c>
      <c r="N42" s="25">
        <f>IF(J42="","",J42+K42)</f>
        <v/>
      </c>
      <c r="O42" s="28"/>
    </row>
    <row r="43" spans="1:15" ht="22" customHeight="1">
      <c r="A43" s="26"/>
      <c r="B43" s="26"/>
      <c r="C43" s="27"/>
      <c r="D43" s="25">
        <f>IF(A43="","",IFERROR(VLOOKUP(A43,Lists!$A$2:$B$24,2,0),""))</f>
        <v/>
      </c>
      <c r="E43" s="27"/>
      <c r="F43" s="27"/>
      <c r="G43" s="27"/>
      <c r="H43" s="26"/>
      <c r="I43" s="26"/>
      <c r="J43" s="27"/>
      <c r="K43" s="27"/>
      <c r="L43" s="27"/>
      <c r="M43" s="25">
        <f>IF(J43="","",ROUND((J43+K43)*L43/100,0))</f>
        <v/>
      </c>
      <c r="N43" s="25">
        <f>IF(J43="","",J43+K43)</f>
        <v/>
      </c>
      <c r="O43" s="26"/>
    </row>
    <row r="44" spans="1:15" ht="22" customHeight="1">
      <c r="A44" s="28"/>
      <c r="B44" s="28"/>
      <c r="C44" s="29"/>
      <c r="D44" s="25">
        <f>IF(A44="","",IFERROR(VLOOKUP(A44,Lists!$A$2:$B$24,2,0),""))</f>
        <v/>
      </c>
      <c r="E44" s="29"/>
      <c r="F44" s="29"/>
      <c r="G44" s="29"/>
      <c r="H44" s="28"/>
      <c r="I44" s="28"/>
      <c r="J44" s="29"/>
      <c r="K44" s="29"/>
      <c r="L44" s="29"/>
      <c r="M44" s="25">
        <f>IF(J44="","",ROUND((J44+K44)*L44/100,0))</f>
        <v/>
      </c>
      <c r="N44" s="25">
        <f>IF(J44="","",J44+K44)</f>
        <v/>
      </c>
      <c r="O44" s="28"/>
    </row>
    <row r="45" spans="1:15" ht="22" customHeight="1">
      <c r="A45" s="26"/>
      <c r="B45" s="26"/>
      <c r="C45" s="27"/>
      <c r="D45" s="25">
        <f>IF(A45="","",IFERROR(VLOOKUP(A45,Lists!$A$2:$B$24,2,0),""))</f>
        <v/>
      </c>
      <c r="E45" s="27"/>
      <c r="F45" s="27"/>
      <c r="G45" s="27"/>
      <c r="H45" s="26"/>
      <c r="I45" s="26"/>
      <c r="J45" s="27"/>
      <c r="K45" s="27"/>
      <c r="L45" s="27"/>
      <c r="M45" s="25">
        <f>IF(J45="","",ROUND((J45+K45)*L45/100,0))</f>
        <v/>
      </c>
      <c r="N45" s="25">
        <f>IF(J45="","",J45+K45)</f>
        <v/>
      </c>
      <c r="O45" s="26"/>
    </row>
    <row r="46" spans="1:15" ht="22" customHeight="1">
      <c r="A46" s="28"/>
      <c r="B46" s="28"/>
      <c r="C46" s="29"/>
      <c r="D46" s="25">
        <f>IF(A46="","",IFERROR(VLOOKUP(A46,Lists!$A$2:$B$24,2,0),""))</f>
        <v/>
      </c>
      <c r="E46" s="29"/>
      <c r="F46" s="29"/>
      <c r="G46" s="29"/>
      <c r="H46" s="28"/>
      <c r="I46" s="28"/>
      <c r="J46" s="29"/>
      <c r="K46" s="29"/>
      <c r="L46" s="29"/>
      <c r="M46" s="25">
        <f>IF(J46="","",ROUND((J46+K46)*L46/100,0))</f>
        <v/>
      </c>
      <c r="N46" s="25">
        <f>IF(J46="","",J46+K46)</f>
        <v/>
      </c>
      <c r="O46" s="28"/>
    </row>
    <row r="47" spans="1:15" ht="22" customHeight="1">
      <c r="A47" s="26"/>
      <c r="B47" s="26"/>
      <c r="C47" s="27"/>
      <c r="D47" s="25">
        <f>IF(A47="","",IFERROR(VLOOKUP(A47,Lists!$A$2:$B$24,2,0),""))</f>
        <v/>
      </c>
      <c r="E47" s="27"/>
      <c r="F47" s="27"/>
      <c r="G47" s="27"/>
      <c r="H47" s="26"/>
      <c r="I47" s="26"/>
      <c r="J47" s="27"/>
      <c r="K47" s="27"/>
      <c r="L47" s="27"/>
      <c r="M47" s="25">
        <f>IF(J47="","",ROUND((J47+K47)*L47/100,0))</f>
        <v/>
      </c>
      <c r="N47" s="25">
        <f>IF(J47="","",J47+K47)</f>
        <v/>
      </c>
      <c r="O47" s="26"/>
    </row>
    <row r="48" spans="1:15" ht="22" customHeight="1">
      <c r="A48" s="28"/>
      <c r="B48" s="28"/>
      <c r="C48" s="29"/>
      <c r="D48" s="25">
        <f>IF(A48="","",IFERROR(VLOOKUP(A48,Lists!$A$2:$B$24,2,0),""))</f>
        <v/>
      </c>
      <c r="E48" s="29"/>
      <c r="F48" s="29"/>
      <c r="G48" s="29"/>
      <c r="H48" s="28"/>
      <c r="I48" s="28"/>
      <c r="J48" s="29"/>
      <c r="K48" s="29"/>
      <c r="L48" s="29"/>
      <c r="M48" s="25">
        <f>IF(J48="","",ROUND((J48+K48)*L48/100,0))</f>
        <v/>
      </c>
      <c r="N48" s="25">
        <f>IF(J48="","",J48+K48)</f>
        <v/>
      </c>
      <c r="O48" s="28"/>
    </row>
    <row r="49" spans="1:15" ht="22" customHeight="1">
      <c r="A49" s="26"/>
      <c r="B49" s="26"/>
      <c r="C49" s="27"/>
      <c r="D49" s="25">
        <f>IF(A49="","",IFERROR(VLOOKUP(A49,Lists!$A$2:$B$24,2,0),""))</f>
        <v/>
      </c>
      <c r="E49" s="27"/>
      <c r="F49" s="27"/>
      <c r="G49" s="27"/>
      <c r="H49" s="26"/>
      <c r="I49" s="26"/>
      <c r="J49" s="27"/>
      <c r="K49" s="27"/>
      <c r="L49" s="27"/>
      <c r="M49" s="25">
        <f>IF(J49="","",ROUND((J49+K49)*L49/100,0))</f>
        <v/>
      </c>
      <c r="N49" s="25">
        <f>IF(J49="","",J49+K49)</f>
        <v/>
      </c>
      <c r="O49" s="26"/>
    </row>
    <row r="50" spans="1:15" ht="22" customHeight="1">
      <c r="A50" s="28"/>
      <c r="B50" s="28"/>
      <c r="C50" s="29"/>
      <c r="D50" s="25">
        <f>IF(A50="","",IFERROR(VLOOKUP(A50,Lists!$A$2:$B$24,2,0),""))</f>
        <v/>
      </c>
      <c r="E50" s="29"/>
      <c r="F50" s="29"/>
      <c r="G50" s="29"/>
      <c r="H50" s="28"/>
      <c r="I50" s="28"/>
      <c r="J50" s="29"/>
      <c r="K50" s="29"/>
      <c r="L50" s="29"/>
      <c r="M50" s="25">
        <f>IF(J50="","",ROUND((J50+K50)*L50/100,0))</f>
        <v/>
      </c>
      <c r="N50" s="25">
        <f>IF(J50="","",J50+K50)</f>
        <v/>
      </c>
      <c r="O50" s="28"/>
    </row>
    <row r="51" spans="1:15" ht="22" customHeight="1">
      <c r="A51" s="26"/>
      <c r="B51" s="26"/>
      <c r="C51" s="27"/>
      <c r="D51" s="25">
        <f>IF(A51="","",IFERROR(VLOOKUP(A51,Lists!$A$2:$B$24,2,0),""))</f>
        <v/>
      </c>
      <c r="E51" s="27"/>
      <c r="F51" s="27"/>
      <c r="G51" s="27"/>
      <c r="H51" s="26"/>
      <c r="I51" s="26"/>
      <c r="J51" s="27"/>
      <c r="K51" s="27"/>
      <c r="L51" s="27"/>
      <c r="M51" s="25">
        <f>IF(J51="","",ROUND((J51+K51)*L51/100,0))</f>
        <v/>
      </c>
      <c r="N51" s="25">
        <f>IF(J51="","",J51+K51)</f>
        <v/>
      </c>
      <c r="O51" s="26"/>
    </row>
    <row r="52" spans="1:15" ht="22" customHeight="1">
      <c r="A52" s="28"/>
      <c r="B52" s="28"/>
      <c r="C52" s="29"/>
      <c r="D52" s="25">
        <f>IF(A52="","",IFERROR(VLOOKUP(A52,Lists!$A$2:$B$24,2,0),""))</f>
        <v/>
      </c>
      <c r="E52" s="29"/>
      <c r="F52" s="29"/>
      <c r="G52" s="29"/>
      <c r="H52" s="28"/>
      <c r="I52" s="28"/>
      <c r="J52" s="29"/>
      <c r="K52" s="29"/>
      <c r="L52" s="29"/>
      <c r="M52" s="25">
        <f>IF(J52="","",ROUND((J52+K52)*L52/100,0))</f>
        <v/>
      </c>
      <c r="N52" s="25">
        <f>IF(J52="","",J52+K52)</f>
        <v/>
      </c>
      <c r="O52" s="28"/>
    </row>
    <row r="53" spans="1:15" ht="22" customHeight="1">
      <c r="A53" s="26"/>
      <c r="B53" s="26"/>
      <c r="C53" s="27"/>
      <c r="D53" s="25">
        <f>IF(A53="","",IFERROR(VLOOKUP(A53,Lists!$A$2:$B$24,2,0),""))</f>
        <v/>
      </c>
      <c r="E53" s="27"/>
      <c r="F53" s="27"/>
      <c r="G53" s="27"/>
      <c r="H53" s="26"/>
      <c r="I53" s="26"/>
      <c r="J53" s="27"/>
      <c r="K53" s="27"/>
      <c r="L53" s="27"/>
      <c r="M53" s="25">
        <f>IF(J53="","",ROUND((J53+K53)*L53/100,0))</f>
        <v/>
      </c>
      <c r="N53" s="25">
        <f>IF(J53="","",J53+K53)</f>
        <v/>
      </c>
      <c r="O53" s="26"/>
    </row>
  </sheetData>
  <dataValidations count="54">
    <dataValidation type="list" allowBlank="1" showInputMessage="1" showErrorMessage="1" errorTitle="Invalid Activity" error="Please select from the dropdown list" promptTitle="Activity Name *" prompt="Select activity — col B (Subcategory) and col D (ATL/BTL) update automatically" sqref="A4:A53">
      <formula1>Lists!$A$2:$A$24</formula1>
    </dataValidation>
    <dataValidation type="list" allowBlank="1" showInputMessage="1" showErrorMessage="1" promptTitle="Subcategory" prompt="Pick subcategory for the Activity in col A" sqref="B4">
      <formula1>INDIRECT("Lists!"&amp;ADDRESS(2,MATCH(A4,Lists!$1:$1,0))&amp;":"&amp;ADDRESS(12,MATCH(A4,Lists!$1:$1,0)))</formula1>
    </dataValidation>
    <dataValidation type="list" allowBlank="1" showInputMessage="1" showErrorMessage="1" promptTitle="Subcategory" prompt="Pick subcategory for the Activity in col A" sqref="B5">
      <formula1>INDIRECT("Lists!"&amp;ADDRESS(2,MATCH(A5,Lists!$1:$1,0))&amp;":"&amp;ADDRESS(12,MATCH(A5,Lists!$1:$1,0)))</formula1>
    </dataValidation>
    <dataValidation type="list" allowBlank="1" showInputMessage="1" showErrorMessage="1" promptTitle="Subcategory" prompt="Pick subcategory for the Activity in col A" sqref="B6">
      <formula1>INDIRECT("Lists!"&amp;ADDRESS(2,MATCH(A6,Lists!$1:$1,0))&amp;":"&amp;ADDRESS(12,MATCH(A6,Lists!$1:$1,0)))</formula1>
    </dataValidation>
    <dataValidation type="list" allowBlank="1" showInputMessage="1" showErrorMessage="1" promptTitle="Subcategory" prompt="Pick subcategory for the Activity in col A" sqref="B7">
      <formula1>INDIRECT("Lists!"&amp;ADDRESS(2,MATCH(A7,Lists!$1:$1,0))&amp;":"&amp;ADDRESS(12,MATCH(A7,Lists!$1:$1,0)))</formula1>
    </dataValidation>
    <dataValidation type="list" allowBlank="1" showInputMessage="1" showErrorMessage="1" promptTitle="Subcategory" prompt="Pick subcategory for the Activity in col A" sqref="B8">
      <formula1>INDIRECT("Lists!"&amp;ADDRESS(2,MATCH(A8,Lists!$1:$1,0))&amp;":"&amp;ADDRESS(12,MATCH(A8,Lists!$1:$1,0)))</formula1>
    </dataValidation>
    <dataValidation type="list" allowBlank="1" showInputMessage="1" showErrorMessage="1" promptTitle="Subcategory" prompt="Pick subcategory for the Activity in col A" sqref="B9">
      <formula1>INDIRECT("Lists!"&amp;ADDRESS(2,MATCH(A9,Lists!$1:$1,0))&amp;":"&amp;ADDRESS(12,MATCH(A9,Lists!$1:$1,0)))</formula1>
    </dataValidation>
    <dataValidation type="list" allowBlank="1" showInputMessage="1" showErrorMessage="1" promptTitle="Subcategory" prompt="Pick subcategory for the Activity in col A" sqref="B10">
      <formula1>INDIRECT("Lists!"&amp;ADDRESS(2,MATCH(A10,Lists!$1:$1,0))&amp;":"&amp;ADDRESS(12,MATCH(A10,Lists!$1:$1,0)))</formula1>
    </dataValidation>
    <dataValidation type="list" allowBlank="1" showInputMessage="1" showErrorMessage="1" promptTitle="Subcategory" prompt="Pick subcategory for the Activity in col A" sqref="B11">
      <formula1>INDIRECT("Lists!"&amp;ADDRESS(2,MATCH(A11,Lists!$1:$1,0))&amp;":"&amp;ADDRESS(12,MATCH(A11,Lists!$1:$1,0)))</formula1>
    </dataValidation>
    <dataValidation type="list" allowBlank="1" showInputMessage="1" showErrorMessage="1" promptTitle="Subcategory" prompt="Pick subcategory for the Activity in col A" sqref="B12">
      <formula1>INDIRECT("Lists!"&amp;ADDRESS(2,MATCH(A12,Lists!$1:$1,0))&amp;":"&amp;ADDRESS(12,MATCH(A12,Lists!$1:$1,0)))</formula1>
    </dataValidation>
    <dataValidation type="list" allowBlank="1" showInputMessage="1" showErrorMessage="1" promptTitle="Subcategory" prompt="Pick subcategory for the Activity in col A" sqref="B13">
      <formula1>INDIRECT("Lists!"&amp;ADDRESS(2,MATCH(A13,Lists!$1:$1,0))&amp;":"&amp;ADDRESS(12,MATCH(A13,Lists!$1:$1,0)))</formula1>
    </dataValidation>
    <dataValidation type="list" allowBlank="1" showInputMessage="1" showErrorMessage="1" promptTitle="Subcategory" prompt="Pick subcategory for the Activity in col A" sqref="B14">
      <formula1>INDIRECT("Lists!"&amp;ADDRESS(2,MATCH(A14,Lists!$1:$1,0))&amp;":"&amp;ADDRESS(12,MATCH(A14,Lists!$1:$1,0)))</formula1>
    </dataValidation>
    <dataValidation type="list" allowBlank="1" showInputMessage="1" showErrorMessage="1" promptTitle="Subcategory" prompt="Pick subcategory for the Activity in col A" sqref="B15">
      <formula1>INDIRECT("Lists!"&amp;ADDRESS(2,MATCH(A15,Lists!$1:$1,0))&amp;":"&amp;ADDRESS(12,MATCH(A15,Lists!$1:$1,0)))</formula1>
    </dataValidation>
    <dataValidation type="list" allowBlank="1" showInputMessage="1" showErrorMessage="1" promptTitle="Subcategory" prompt="Pick subcategory for the Activity in col A" sqref="B16">
      <formula1>INDIRECT("Lists!"&amp;ADDRESS(2,MATCH(A16,Lists!$1:$1,0))&amp;":"&amp;ADDRESS(12,MATCH(A16,Lists!$1:$1,0)))</formula1>
    </dataValidation>
    <dataValidation type="list" allowBlank="1" showInputMessage="1" showErrorMessage="1" promptTitle="Subcategory" prompt="Pick subcategory for the Activity in col A" sqref="B17">
      <formula1>INDIRECT("Lists!"&amp;ADDRESS(2,MATCH(A17,Lists!$1:$1,0))&amp;":"&amp;ADDRESS(12,MATCH(A17,Lists!$1:$1,0)))</formula1>
    </dataValidation>
    <dataValidation type="list" allowBlank="1" showInputMessage="1" showErrorMessage="1" promptTitle="Subcategory" prompt="Pick subcategory for the Activity in col A" sqref="B18">
      <formula1>INDIRECT("Lists!"&amp;ADDRESS(2,MATCH(A18,Lists!$1:$1,0))&amp;":"&amp;ADDRESS(12,MATCH(A18,Lists!$1:$1,0)))</formula1>
    </dataValidation>
    <dataValidation type="list" allowBlank="1" showInputMessage="1" showErrorMessage="1" promptTitle="Subcategory" prompt="Pick subcategory for the Activity in col A" sqref="B19">
      <formula1>INDIRECT("Lists!"&amp;ADDRESS(2,MATCH(A19,Lists!$1:$1,0))&amp;":"&amp;ADDRESS(12,MATCH(A19,Lists!$1:$1,0)))</formula1>
    </dataValidation>
    <dataValidation type="list" allowBlank="1" showInputMessage="1" showErrorMessage="1" promptTitle="Subcategory" prompt="Pick subcategory for the Activity in col A" sqref="B20">
      <formula1>INDIRECT("Lists!"&amp;ADDRESS(2,MATCH(A20,Lists!$1:$1,0))&amp;":"&amp;ADDRESS(12,MATCH(A20,Lists!$1:$1,0)))</formula1>
    </dataValidation>
    <dataValidation type="list" allowBlank="1" showInputMessage="1" showErrorMessage="1" promptTitle="Subcategory" prompt="Pick subcategory for the Activity in col A" sqref="B21">
      <formula1>INDIRECT("Lists!"&amp;ADDRESS(2,MATCH(A21,Lists!$1:$1,0))&amp;":"&amp;ADDRESS(12,MATCH(A21,Lists!$1:$1,0)))</formula1>
    </dataValidation>
    <dataValidation type="list" allowBlank="1" showInputMessage="1" showErrorMessage="1" promptTitle="Subcategory" prompt="Pick subcategory for the Activity in col A" sqref="B22">
      <formula1>INDIRECT("Lists!"&amp;ADDRESS(2,MATCH(A22,Lists!$1:$1,0))&amp;":"&amp;ADDRESS(12,MATCH(A22,Lists!$1:$1,0)))</formula1>
    </dataValidation>
    <dataValidation type="list" allowBlank="1" showInputMessage="1" showErrorMessage="1" promptTitle="Subcategory" prompt="Pick subcategory for the Activity in col A" sqref="B23">
      <formula1>INDIRECT("Lists!"&amp;ADDRESS(2,MATCH(A23,Lists!$1:$1,0))&amp;":"&amp;ADDRESS(12,MATCH(A23,Lists!$1:$1,0)))</formula1>
    </dataValidation>
    <dataValidation type="list" allowBlank="1" showInputMessage="1" showErrorMessage="1" promptTitle="Subcategory" prompt="Pick subcategory for the Activity in col A" sqref="B24">
      <formula1>INDIRECT("Lists!"&amp;ADDRESS(2,MATCH(A24,Lists!$1:$1,0))&amp;":"&amp;ADDRESS(12,MATCH(A24,Lists!$1:$1,0)))</formula1>
    </dataValidation>
    <dataValidation type="list" allowBlank="1" showInputMessage="1" showErrorMessage="1" promptTitle="Subcategory" prompt="Pick subcategory for the Activity in col A" sqref="B25">
      <formula1>INDIRECT("Lists!"&amp;ADDRESS(2,MATCH(A25,Lists!$1:$1,0))&amp;":"&amp;ADDRESS(12,MATCH(A25,Lists!$1:$1,0)))</formula1>
    </dataValidation>
    <dataValidation type="list" allowBlank="1" showInputMessage="1" showErrorMessage="1" promptTitle="Subcategory" prompt="Pick subcategory for the Activity in col A" sqref="B26">
      <formula1>INDIRECT("Lists!"&amp;ADDRESS(2,MATCH(A26,Lists!$1:$1,0))&amp;":"&amp;ADDRESS(12,MATCH(A26,Lists!$1:$1,0)))</formula1>
    </dataValidation>
    <dataValidation type="list" allowBlank="1" showInputMessage="1" showErrorMessage="1" promptTitle="Subcategory" prompt="Pick subcategory for the Activity in col A" sqref="B27">
      <formula1>INDIRECT("Lists!"&amp;ADDRESS(2,MATCH(A27,Lists!$1:$1,0))&amp;":"&amp;ADDRESS(12,MATCH(A27,Lists!$1:$1,0)))</formula1>
    </dataValidation>
    <dataValidation type="list" allowBlank="1" showInputMessage="1" showErrorMessage="1" promptTitle="Subcategory" prompt="Pick subcategory for the Activity in col A" sqref="B28">
      <formula1>INDIRECT("Lists!"&amp;ADDRESS(2,MATCH(A28,Lists!$1:$1,0))&amp;":"&amp;ADDRESS(12,MATCH(A28,Lists!$1:$1,0)))</formula1>
    </dataValidation>
    <dataValidation type="list" allowBlank="1" showInputMessage="1" showErrorMessage="1" promptTitle="Subcategory" prompt="Pick subcategory for the Activity in col A" sqref="B29">
      <formula1>INDIRECT("Lists!"&amp;ADDRESS(2,MATCH(A29,Lists!$1:$1,0))&amp;":"&amp;ADDRESS(12,MATCH(A29,Lists!$1:$1,0)))</formula1>
    </dataValidation>
    <dataValidation type="list" allowBlank="1" showInputMessage="1" showErrorMessage="1" promptTitle="Subcategory" prompt="Pick subcategory for the Activity in col A" sqref="B30">
      <formula1>INDIRECT("Lists!"&amp;ADDRESS(2,MATCH(A30,Lists!$1:$1,0))&amp;":"&amp;ADDRESS(12,MATCH(A30,Lists!$1:$1,0)))</formula1>
    </dataValidation>
    <dataValidation type="list" allowBlank="1" showInputMessage="1" showErrorMessage="1" promptTitle="Subcategory" prompt="Pick subcategory for the Activity in col A" sqref="B31">
      <formula1>INDIRECT("Lists!"&amp;ADDRESS(2,MATCH(A31,Lists!$1:$1,0))&amp;":"&amp;ADDRESS(12,MATCH(A31,Lists!$1:$1,0)))</formula1>
    </dataValidation>
    <dataValidation type="list" allowBlank="1" showInputMessage="1" showErrorMessage="1" promptTitle="Subcategory" prompt="Pick subcategory for the Activity in col A" sqref="B32">
      <formula1>INDIRECT("Lists!"&amp;ADDRESS(2,MATCH(A32,Lists!$1:$1,0))&amp;":"&amp;ADDRESS(12,MATCH(A32,Lists!$1:$1,0)))</formula1>
    </dataValidation>
    <dataValidation type="list" allowBlank="1" showInputMessage="1" showErrorMessage="1" promptTitle="Subcategory" prompt="Pick subcategory for the Activity in col A" sqref="B33">
      <formula1>INDIRECT("Lists!"&amp;ADDRESS(2,MATCH(A33,Lists!$1:$1,0))&amp;":"&amp;ADDRESS(12,MATCH(A33,Lists!$1:$1,0)))</formula1>
    </dataValidation>
    <dataValidation type="list" allowBlank="1" showInputMessage="1" showErrorMessage="1" promptTitle="Subcategory" prompt="Pick subcategory for the Activity in col A" sqref="B34">
      <formula1>INDIRECT("Lists!"&amp;ADDRESS(2,MATCH(A34,Lists!$1:$1,0))&amp;":"&amp;ADDRESS(12,MATCH(A34,Lists!$1:$1,0)))</formula1>
    </dataValidation>
    <dataValidation type="list" allowBlank="1" showInputMessage="1" showErrorMessage="1" promptTitle="Subcategory" prompt="Pick subcategory for the Activity in col A" sqref="B35">
      <formula1>INDIRECT("Lists!"&amp;ADDRESS(2,MATCH(A35,Lists!$1:$1,0))&amp;":"&amp;ADDRESS(12,MATCH(A35,Lists!$1:$1,0)))</formula1>
    </dataValidation>
    <dataValidation type="list" allowBlank="1" showInputMessage="1" showErrorMessage="1" promptTitle="Subcategory" prompt="Pick subcategory for the Activity in col A" sqref="B36">
      <formula1>INDIRECT("Lists!"&amp;ADDRESS(2,MATCH(A36,Lists!$1:$1,0))&amp;":"&amp;ADDRESS(12,MATCH(A36,Lists!$1:$1,0)))</formula1>
    </dataValidation>
    <dataValidation type="list" allowBlank="1" showInputMessage="1" showErrorMessage="1" promptTitle="Subcategory" prompt="Pick subcategory for the Activity in col A" sqref="B37">
      <formula1>INDIRECT("Lists!"&amp;ADDRESS(2,MATCH(A37,Lists!$1:$1,0))&amp;":"&amp;ADDRESS(12,MATCH(A37,Lists!$1:$1,0)))</formula1>
    </dataValidation>
    <dataValidation type="list" allowBlank="1" showInputMessage="1" showErrorMessage="1" promptTitle="Subcategory" prompt="Pick subcategory for the Activity in col A" sqref="B38">
      <formula1>INDIRECT("Lists!"&amp;ADDRESS(2,MATCH(A38,Lists!$1:$1,0))&amp;":"&amp;ADDRESS(12,MATCH(A38,Lists!$1:$1,0)))</formula1>
    </dataValidation>
    <dataValidation type="list" allowBlank="1" showInputMessage="1" showErrorMessage="1" promptTitle="Subcategory" prompt="Pick subcategory for the Activity in col A" sqref="B39">
      <formula1>INDIRECT("Lists!"&amp;ADDRESS(2,MATCH(A39,Lists!$1:$1,0))&amp;":"&amp;ADDRESS(12,MATCH(A39,Lists!$1:$1,0)))</formula1>
    </dataValidation>
    <dataValidation type="list" allowBlank="1" showInputMessage="1" showErrorMessage="1" promptTitle="Subcategory" prompt="Pick subcategory for the Activity in col A" sqref="B40">
      <formula1>INDIRECT("Lists!"&amp;ADDRESS(2,MATCH(A40,Lists!$1:$1,0))&amp;":"&amp;ADDRESS(12,MATCH(A40,Lists!$1:$1,0)))</formula1>
    </dataValidation>
    <dataValidation type="list" allowBlank="1" showInputMessage="1" showErrorMessage="1" promptTitle="Subcategory" prompt="Pick subcategory for the Activity in col A" sqref="B41">
      <formula1>INDIRECT("Lists!"&amp;ADDRESS(2,MATCH(A41,Lists!$1:$1,0))&amp;":"&amp;ADDRESS(12,MATCH(A41,Lists!$1:$1,0)))</formula1>
    </dataValidation>
    <dataValidation type="list" allowBlank="1" showInputMessage="1" showErrorMessage="1" promptTitle="Subcategory" prompt="Pick subcategory for the Activity in col A" sqref="B42">
      <formula1>INDIRECT("Lists!"&amp;ADDRESS(2,MATCH(A42,Lists!$1:$1,0))&amp;":"&amp;ADDRESS(12,MATCH(A42,Lists!$1:$1,0)))</formula1>
    </dataValidation>
    <dataValidation type="list" allowBlank="1" showInputMessage="1" showErrorMessage="1" promptTitle="Subcategory" prompt="Pick subcategory for the Activity in col A" sqref="B43">
      <formula1>INDIRECT("Lists!"&amp;ADDRESS(2,MATCH(A43,Lists!$1:$1,0))&amp;":"&amp;ADDRESS(12,MATCH(A43,Lists!$1:$1,0)))</formula1>
    </dataValidation>
    <dataValidation type="list" allowBlank="1" showInputMessage="1" showErrorMessage="1" promptTitle="Subcategory" prompt="Pick subcategory for the Activity in col A" sqref="B44">
      <formula1>INDIRECT("Lists!"&amp;ADDRESS(2,MATCH(A44,Lists!$1:$1,0))&amp;":"&amp;ADDRESS(12,MATCH(A44,Lists!$1:$1,0)))</formula1>
    </dataValidation>
    <dataValidation type="list" allowBlank="1" showInputMessage="1" showErrorMessage="1" promptTitle="Subcategory" prompt="Pick subcategory for the Activity in col A" sqref="B45">
      <formula1>INDIRECT("Lists!"&amp;ADDRESS(2,MATCH(A45,Lists!$1:$1,0))&amp;":"&amp;ADDRESS(12,MATCH(A45,Lists!$1:$1,0)))</formula1>
    </dataValidation>
    <dataValidation type="list" allowBlank="1" showInputMessage="1" showErrorMessage="1" promptTitle="Subcategory" prompt="Pick subcategory for the Activity in col A" sqref="B46">
      <formula1>INDIRECT("Lists!"&amp;ADDRESS(2,MATCH(A46,Lists!$1:$1,0))&amp;":"&amp;ADDRESS(12,MATCH(A46,Lists!$1:$1,0)))</formula1>
    </dataValidation>
    <dataValidation type="list" allowBlank="1" showInputMessage="1" showErrorMessage="1" promptTitle="Subcategory" prompt="Pick subcategory for the Activity in col A" sqref="B47">
      <formula1>INDIRECT("Lists!"&amp;ADDRESS(2,MATCH(A47,Lists!$1:$1,0))&amp;":"&amp;ADDRESS(12,MATCH(A47,Lists!$1:$1,0)))</formula1>
    </dataValidation>
    <dataValidation type="list" allowBlank="1" showInputMessage="1" showErrorMessage="1" promptTitle="Subcategory" prompt="Pick subcategory for the Activity in col A" sqref="B48">
      <formula1>INDIRECT("Lists!"&amp;ADDRESS(2,MATCH(A48,Lists!$1:$1,0))&amp;":"&amp;ADDRESS(12,MATCH(A48,Lists!$1:$1,0)))</formula1>
    </dataValidation>
    <dataValidation type="list" allowBlank="1" showInputMessage="1" showErrorMessage="1" promptTitle="Subcategory" prompt="Pick subcategory for the Activity in col A" sqref="B49">
      <formula1>INDIRECT("Lists!"&amp;ADDRESS(2,MATCH(A49,Lists!$1:$1,0))&amp;":"&amp;ADDRESS(12,MATCH(A49,Lists!$1:$1,0)))</formula1>
    </dataValidation>
    <dataValidation type="list" allowBlank="1" showInputMessage="1" showErrorMessage="1" promptTitle="Subcategory" prompt="Pick subcategory for the Activity in col A" sqref="B50">
      <formula1>INDIRECT("Lists!"&amp;ADDRESS(2,MATCH(A50,Lists!$1:$1,0))&amp;":"&amp;ADDRESS(12,MATCH(A50,Lists!$1:$1,0)))</formula1>
    </dataValidation>
    <dataValidation type="list" allowBlank="1" showInputMessage="1" showErrorMessage="1" promptTitle="Subcategory" prompt="Pick subcategory for the Activity in col A" sqref="B51">
      <formula1>INDIRECT("Lists!"&amp;ADDRESS(2,MATCH(A51,Lists!$1:$1,0))&amp;":"&amp;ADDRESS(12,MATCH(A51,Lists!$1:$1,0)))</formula1>
    </dataValidation>
    <dataValidation type="list" allowBlank="1" showInputMessage="1" showErrorMessage="1" promptTitle="Subcategory" prompt="Pick subcategory for the Activity in col A" sqref="B52">
      <formula1>INDIRECT("Lists!"&amp;ADDRESS(2,MATCH(A52,Lists!$1:$1,0))&amp;":"&amp;ADDRESS(12,MATCH(A52,Lists!$1:$1,0)))</formula1>
    </dataValidation>
    <dataValidation type="list" allowBlank="1" showInputMessage="1" showErrorMessage="1" promptTitle="Subcategory" prompt="Pick subcategory for the Activity in col A" sqref="B53">
      <formula1>INDIRECT("Lists!"&amp;ADDRESS(2,MATCH(A53,Lists!$1:$1,0))&amp;":"&amp;ADDRESS(12,MATCH(A53,Lists!$1:$1,0)))</formula1>
    </dataValidation>
    <dataValidation type="whole" allowBlank="1" showInputMessage="1" showErrorMessage="1" errorTitle="Invalid QTY" error="Must be 1–20" promptTitle="QTY" prompt="Enter 1 to max (see Subcategory Reference sheet)" sqref="C4:C53">
      <formula1>1</formula1>
      <formula2>20</formula2>
    </dataValidation>
    <dataValidation type="list" allowBlank="1" showInputMessage="1" showErrorMessage="1" errorTitle="Invalid Share" error="Must be 100, 70 or 50" promptTitle="BGauss Share %" prompt="100 = BGauss pays full | 70 or 50 = shared" sqref="L4:L53">
      <formula1>"100,70,50"</formula1>
    </dataValidation>
    <dataValidation type="decimal" operator="greaterThanOrEqual" allowBlank="1" showInputMessage="1" showErrorMessage="1" promptTitle="Budget (₹)" prompt="Numbers only (no ₹ or commas)" sqref="J4:K5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cols>
    <col min="1" max="1" width="26.7109375" customWidth="1"/>
    <col min="2" max="2" width="12.7109375" customWidth="1"/>
    <col min="3" max="3" width="32.7109375" customWidth="1"/>
    <col min="4" max="4" width="10.7109375" customWidth="1"/>
  </cols>
  <sheetData>
    <row r="1" spans="1:4" ht="26" customHeight="1">
      <c r="A1" s="30" t="s">
        <v>96</v>
      </c>
      <c r="B1" s="30"/>
      <c r="C1" s="30"/>
      <c r="D1" s="30"/>
    </row>
    <row r="2" spans="1:4" ht="22" customHeight="1">
      <c r="A2" s="31" t="s">
        <v>97</v>
      </c>
      <c r="B2" s="31" t="s">
        <v>98</v>
      </c>
      <c r="C2" s="31" t="s">
        <v>68</v>
      </c>
      <c r="D2" s="31" t="s">
        <v>99</v>
      </c>
    </row>
    <row r="3" spans="1:4" ht="20" customHeight="1">
      <c r="A3" s="32" t="s">
        <v>2</v>
      </c>
      <c r="B3" s="3" t="s">
        <v>25</v>
      </c>
      <c r="C3" s="33" t="s">
        <v>2</v>
      </c>
      <c r="D3" s="34">
        <v>5</v>
      </c>
    </row>
    <row r="4" spans="1:4" ht="20" customHeight="1">
      <c r="A4" s="32" t="s">
        <v>3</v>
      </c>
      <c r="B4" s="5" t="s">
        <v>26</v>
      </c>
      <c r="C4" s="35" t="s">
        <v>3</v>
      </c>
      <c r="D4" s="36">
        <v>5</v>
      </c>
    </row>
    <row r="5" spans="1:4" ht="20" customHeight="1">
      <c r="A5" s="32" t="s">
        <v>4</v>
      </c>
      <c r="B5" s="3" t="s">
        <v>25</v>
      </c>
      <c r="C5" s="33" t="s">
        <v>27</v>
      </c>
      <c r="D5" s="34">
        <v>20</v>
      </c>
    </row>
    <row r="6" spans="1:4" ht="20" customHeight="1">
      <c r="A6" s="35"/>
      <c r="B6" s="35"/>
      <c r="C6" s="35" t="s">
        <v>28</v>
      </c>
      <c r="D6" s="36">
        <v>20</v>
      </c>
    </row>
    <row r="7" spans="1:4" ht="20" customHeight="1">
      <c r="A7" s="33"/>
      <c r="B7" s="33"/>
      <c r="C7" s="33" t="s">
        <v>29</v>
      </c>
      <c r="D7" s="34">
        <v>20</v>
      </c>
    </row>
    <row r="8" spans="1:4" ht="20" customHeight="1">
      <c r="A8" s="35"/>
      <c r="B8" s="35"/>
      <c r="C8" s="35" t="s">
        <v>30</v>
      </c>
      <c r="D8" s="36">
        <v>20</v>
      </c>
    </row>
    <row r="9" spans="1:4" ht="20" customHeight="1">
      <c r="A9" s="33"/>
      <c r="B9" s="33"/>
      <c r="C9" s="33" t="s">
        <v>31</v>
      </c>
      <c r="D9" s="34">
        <v>20</v>
      </c>
    </row>
    <row r="10" spans="1:4" ht="20" customHeight="1">
      <c r="A10" s="35"/>
      <c r="B10" s="35"/>
      <c r="C10" s="35" t="s">
        <v>32</v>
      </c>
      <c r="D10" s="36">
        <v>20</v>
      </c>
    </row>
    <row r="11" spans="1:4" ht="20" customHeight="1">
      <c r="A11" s="32" t="s">
        <v>5</v>
      </c>
      <c r="B11" s="5" t="s">
        <v>26</v>
      </c>
      <c r="C11" s="33" t="s">
        <v>5</v>
      </c>
      <c r="D11" s="34">
        <v>12</v>
      </c>
    </row>
    <row r="12" spans="1:4" ht="20" customHeight="1">
      <c r="A12" s="32" t="s">
        <v>6</v>
      </c>
      <c r="B12" s="3" t="s">
        <v>25</v>
      </c>
      <c r="C12" s="35" t="s">
        <v>6</v>
      </c>
      <c r="D12" s="36">
        <v>5</v>
      </c>
    </row>
    <row r="13" spans="1:4" ht="20" customHeight="1">
      <c r="A13" s="32" t="s">
        <v>7</v>
      </c>
      <c r="B13" s="5" t="s">
        <v>26</v>
      </c>
      <c r="C13" s="33" t="s">
        <v>7</v>
      </c>
      <c r="D13" s="34">
        <v>5</v>
      </c>
    </row>
    <row r="14" spans="1:4" ht="20" customHeight="1">
      <c r="A14" s="32" t="s">
        <v>8</v>
      </c>
      <c r="B14" s="3" t="s">
        <v>25</v>
      </c>
      <c r="C14" s="35" t="s">
        <v>33</v>
      </c>
      <c r="D14" s="36">
        <v>5</v>
      </c>
    </row>
    <row r="15" spans="1:4" ht="20" customHeight="1">
      <c r="A15" s="33"/>
      <c r="B15" s="33"/>
      <c r="C15" s="33" t="s">
        <v>34</v>
      </c>
      <c r="D15" s="34">
        <v>5</v>
      </c>
    </row>
    <row r="16" spans="1:4" ht="20" customHeight="1">
      <c r="A16" s="35"/>
      <c r="B16" s="35"/>
      <c r="C16" s="35" t="s">
        <v>35</v>
      </c>
      <c r="D16" s="36">
        <v>5</v>
      </c>
    </row>
    <row r="17" spans="1:4" ht="20" customHeight="1">
      <c r="A17" s="32" t="s">
        <v>9</v>
      </c>
      <c r="B17" s="5" t="s">
        <v>26</v>
      </c>
      <c r="C17" s="33" t="s">
        <v>9</v>
      </c>
      <c r="D17" s="34">
        <v>5</v>
      </c>
    </row>
    <row r="18" spans="1:4" ht="20" customHeight="1">
      <c r="A18" s="32" t="s">
        <v>10</v>
      </c>
      <c r="B18" s="3" t="s">
        <v>25</v>
      </c>
      <c r="C18" s="35" t="s">
        <v>36</v>
      </c>
      <c r="D18" s="36">
        <v>20</v>
      </c>
    </row>
    <row r="19" spans="1:4" ht="20" customHeight="1">
      <c r="A19" s="33"/>
      <c r="B19" s="33"/>
      <c r="C19" s="33" t="s">
        <v>37</v>
      </c>
      <c r="D19" s="34">
        <v>20</v>
      </c>
    </row>
    <row r="20" spans="1:4" ht="20" customHeight="1">
      <c r="A20" s="35"/>
      <c r="B20" s="35"/>
      <c r="C20" s="35" t="s">
        <v>38</v>
      </c>
      <c r="D20" s="36">
        <v>20</v>
      </c>
    </row>
    <row r="21" spans="1:4" ht="20" customHeight="1">
      <c r="A21" s="33"/>
      <c r="B21" s="33"/>
      <c r="C21" s="33" t="s">
        <v>39</v>
      </c>
      <c r="D21" s="34">
        <v>20</v>
      </c>
    </row>
    <row r="22" spans="1:4" ht="20" customHeight="1">
      <c r="A22" s="35"/>
      <c r="B22" s="35"/>
      <c r="C22" s="35" t="s">
        <v>40</v>
      </c>
      <c r="D22" s="36">
        <v>20</v>
      </c>
    </row>
    <row r="23" spans="1:4" ht="20" customHeight="1">
      <c r="A23" s="33"/>
      <c r="B23" s="33"/>
      <c r="C23" s="33" t="s">
        <v>41</v>
      </c>
      <c r="D23" s="34">
        <v>20</v>
      </c>
    </row>
    <row r="24" spans="1:4" ht="20" customHeight="1">
      <c r="A24" s="35"/>
      <c r="B24" s="35"/>
      <c r="C24" s="35" t="s">
        <v>42</v>
      </c>
      <c r="D24" s="36">
        <v>20</v>
      </c>
    </row>
    <row r="25" spans="1:4" ht="20" customHeight="1">
      <c r="A25" s="33"/>
      <c r="B25" s="33"/>
      <c r="C25" s="33" t="s">
        <v>43</v>
      </c>
      <c r="D25" s="34">
        <v>20</v>
      </c>
    </row>
    <row r="26" spans="1:4" ht="20" customHeight="1">
      <c r="A26" s="35"/>
      <c r="B26" s="35"/>
      <c r="C26" s="35" t="s">
        <v>44</v>
      </c>
      <c r="D26" s="36">
        <v>20</v>
      </c>
    </row>
    <row r="27" spans="1:4" ht="20" customHeight="1">
      <c r="A27" s="33"/>
      <c r="B27" s="33"/>
      <c r="C27" s="33" t="s">
        <v>45</v>
      </c>
      <c r="D27" s="34">
        <v>20</v>
      </c>
    </row>
    <row r="28" spans="1:4" ht="20" customHeight="1">
      <c r="A28" s="32" t="s">
        <v>11</v>
      </c>
      <c r="B28" s="3" t="s">
        <v>25</v>
      </c>
      <c r="C28" s="35" t="s">
        <v>11</v>
      </c>
      <c r="D28" s="36">
        <v>5</v>
      </c>
    </row>
    <row r="29" spans="1:4" ht="20" customHeight="1">
      <c r="A29" s="32" t="s">
        <v>12</v>
      </c>
      <c r="B29" s="5" t="s">
        <v>26</v>
      </c>
      <c r="C29" s="33" t="s">
        <v>46</v>
      </c>
      <c r="D29" s="34">
        <v>5</v>
      </c>
    </row>
    <row r="30" spans="1:4" ht="20" customHeight="1">
      <c r="A30" s="32" t="s">
        <v>13</v>
      </c>
      <c r="B30" s="3" t="s">
        <v>25</v>
      </c>
      <c r="C30" s="35" t="s">
        <v>13</v>
      </c>
      <c r="D30" s="36">
        <v>20</v>
      </c>
    </row>
    <row r="31" spans="1:4" ht="20" customHeight="1">
      <c r="A31" s="32" t="s">
        <v>14</v>
      </c>
      <c r="B31" s="3" t="s">
        <v>25</v>
      </c>
      <c r="C31" s="33" t="s">
        <v>14</v>
      </c>
      <c r="D31" s="34">
        <v>5</v>
      </c>
    </row>
    <row r="32" spans="1:4" ht="20" customHeight="1">
      <c r="A32" s="32" t="s">
        <v>15</v>
      </c>
      <c r="B32" s="5" t="s">
        <v>26</v>
      </c>
      <c r="C32" s="35" t="s">
        <v>15</v>
      </c>
      <c r="D32" s="36">
        <v>5</v>
      </c>
    </row>
    <row r="33" spans="1:4" ht="20" customHeight="1">
      <c r="A33" s="32" t="s">
        <v>16</v>
      </c>
      <c r="B33" s="5" t="s">
        <v>26</v>
      </c>
      <c r="C33" s="33" t="s">
        <v>16</v>
      </c>
      <c r="D33" s="34">
        <v>5</v>
      </c>
    </row>
    <row r="34" spans="1:4" ht="20" customHeight="1">
      <c r="A34" s="32" t="s">
        <v>17</v>
      </c>
      <c r="B34" s="3" t="s">
        <v>25</v>
      </c>
      <c r="C34" s="35" t="s">
        <v>47</v>
      </c>
      <c r="D34" s="36">
        <v>5</v>
      </c>
    </row>
    <row r="35" spans="1:4" ht="20" customHeight="1">
      <c r="A35" s="33"/>
      <c r="B35" s="33"/>
      <c r="C35" s="33" t="s">
        <v>48</v>
      </c>
      <c r="D35" s="34">
        <v>5</v>
      </c>
    </row>
    <row r="36" spans="1:4" ht="20" customHeight="1">
      <c r="A36" s="35"/>
      <c r="B36" s="35"/>
      <c r="C36" s="35" t="s">
        <v>49</v>
      </c>
      <c r="D36" s="36">
        <v>5</v>
      </c>
    </row>
    <row r="37" spans="1:4" ht="20" customHeight="1">
      <c r="A37" s="33"/>
      <c r="B37" s="33"/>
      <c r="C37" s="33" t="s">
        <v>50</v>
      </c>
      <c r="D37" s="34">
        <v>5</v>
      </c>
    </row>
    <row r="38" spans="1:4" ht="20" customHeight="1">
      <c r="A38" s="35"/>
      <c r="B38" s="35"/>
      <c r="C38" s="35" t="s">
        <v>51</v>
      </c>
      <c r="D38" s="36">
        <v>5</v>
      </c>
    </row>
    <row r="39" spans="1:4" ht="20" customHeight="1">
      <c r="A39" s="33"/>
      <c r="B39" s="33"/>
      <c r="C39" s="33" t="s">
        <v>52</v>
      </c>
      <c r="D39" s="34">
        <v>5</v>
      </c>
    </row>
    <row r="40" spans="1:4" ht="20" customHeight="1">
      <c r="A40" s="35"/>
      <c r="B40" s="35"/>
      <c r="C40" s="35" t="s">
        <v>53</v>
      </c>
      <c r="D40" s="36">
        <v>5</v>
      </c>
    </row>
    <row r="41" spans="1:4" ht="20" customHeight="1">
      <c r="A41" s="33"/>
      <c r="B41" s="33"/>
      <c r="C41" s="33" t="s">
        <v>54</v>
      </c>
      <c r="D41" s="34">
        <v>5</v>
      </c>
    </row>
    <row r="42" spans="1:4" ht="20" customHeight="1">
      <c r="A42" s="35"/>
      <c r="B42" s="35"/>
      <c r="C42" s="35" t="s">
        <v>55</v>
      </c>
      <c r="D42" s="36">
        <v>5</v>
      </c>
    </row>
    <row r="43" spans="1:4" ht="20" customHeight="1">
      <c r="A43" s="33"/>
      <c r="B43" s="33"/>
      <c r="C43" s="33" t="s">
        <v>56</v>
      </c>
      <c r="D43" s="34">
        <v>5</v>
      </c>
    </row>
    <row r="44" spans="1:4" ht="20" customHeight="1">
      <c r="A44" s="35"/>
      <c r="B44" s="35"/>
      <c r="C44" s="35" t="s">
        <v>57</v>
      </c>
      <c r="D44" s="36">
        <v>5</v>
      </c>
    </row>
    <row r="45" spans="1:4" ht="20" customHeight="1">
      <c r="A45" s="32" t="s">
        <v>18</v>
      </c>
      <c r="B45" s="3" t="s">
        <v>25</v>
      </c>
      <c r="C45" s="33" t="s">
        <v>58</v>
      </c>
      <c r="D45" s="34">
        <v>5</v>
      </c>
    </row>
    <row r="46" spans="1:4" ht="20" customHeight="1">
      <c r="A46" s="32" t="s">
        <v>19</v>
      </c>
      <c r="B46" s="5" t="s">
        <v>26</v>
      </c>
      <c r="C46" s="35" t="s">
        <v>59</v>
      </c>
      <c r="D46" s="36">
        <v>5</v>
      </c>
    </row>
    <row r="47" spans="1:4" ht="20" customHeight="1">
      <c r="A47" s="32" t="s">
        <v>20</v>
      </c>
      <c r="B47" s="3" t="s">
        <v>25</v>
      </c>
      <c r="C47" s="33" t="s">
        <v>60</v>
      </c>
      <c r="D47" s="34">
        <v>5</v>
      </c>
    </row>
    <row r="48" spans="1:4" ht="20" customHeight="1">
      <c r="A48" s="32" t="s">
        <v>21</v>
      </c>
      <c r="B48" s="3" t="s">
        <v>25</v>
      </c>
      <c r="C48" s="35" t="s">
        <v>61</v>
      </c>
      <c r="D48" s="36">
        <v>5</v>
      </c>
    </row>
    <row r="49" spans="1:4" ht="20" customHeight="1">
      <c r="A49" s="32" t="s">
        <v>22</v>
      </c>
      <c r="B49" s="3" t="s">
        <v>25</v>
      </c>
      <c r="C49" s="33" t="s">
        <v>62</v>
      </c>
      <c r="D49" s="34">
        <v>5</v>
      </c>
    </row>
    <row r="50" spans="1:4" ht="20" customHeight="1">
      <c r="A50" s="35"/>
      <c r="B50" s="35"/>
      <c r="C50" s="35" t="s">
        <v>63</v>
      </c>
      <c r="D50" s="36">
        <v>5</v>
      </c>
    </row>
    <row r="51" spans="1:4" ht="20" customHeight="1">
      <c r="A51" s="32" t="s">
        <v>23</v>
      </c>
      <c r="B51" s="3" t="s">
        <v>25</v>
      </c>
      <c r="C51" s="33" t="s">
        <v>23</v>
      </c>
      <c r="D51" s="34">
        <v>5</v>
      </c>
    </row>
    <row r="52" spans="1:4" ht="20" customHeight="1">
      <c r="A52" s="32" t="s">
        <v>24</v>
      </c>
      <c r="B52" s="3" t="s">
        <v>25</v>
      </c>
      <c r="C52" s="35" t="s">
        <v>24</v>
      </c>
      <c r="D52" s="36">
        <v>10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cols>
    <col min="1" max="1" width="8.7109375" customWidth="1"/>
    <col min="2" max="2" width="30.7109375" customWidth="1"/>
    <col min="3" max="3" width="68.7109375" customWidth="1"/>
  </cols>
  <sheetData>
    <row r="1" spans="1:3" ht="36" customHeight="1">
      <c r="A1" s="37" t="s">
        <v>100</v>
      </c>
      <c r="B1" s="37"/>
      <c r="C1" s="37"/>
    </row>
    <row r="2" spans="1:3" ht="36" customHeight="1">
      <c r="A2" s="38" t="s">
        <v>101</v>
      </c>
      <c r="B2" s="38"/>
      <c r="C2" s="38"/>
    </row>
    <row r="3" spans="1:3" ht="22" customHeight="1">
      <c r="A3" s="31" t="s">
        <v>102</v>
      </c>
      <c r="B3" s="31" t="s">
        <v>103</v>
      </c>
      <c r="C3" s="31" t="s">
        <v>104</v>
      </c>
    </row>
    <row r="4" spans="1:3" ht="28" customHeight="1">
      <c r="A4" s="39" t="s">
        <v>105</v>
      </c>
      <c r="B4" s="39" t="s">
        <v>97</v>
      </c>
      <c r="C4" s="39" t="s">
        <v>106</v>
      </c>
    </row>
    <row r="5" spans="1:3" ht="28" customHeight="1">
      <c r="A5" s="40" t="s">
        <v>107</v>
      </c>
      <c r="B5" s="40" t="s">
        <v>68</v>
      </c>
      <c r="C5" s="40" t="s">
        <v>108</v>
      </c>
    </row>
    <row r="6" spans="1:3" ht="28" customHeight="1">
      <c r="A6" s="39" t="s">
        <v>109</v>
      </c>
      <c r="B6" s="39" t="s">
        <v>69</v>
      </c>
      <c r="C6" s="39" t="s">
        <v>110</v>
      </c>
    </row>
    <row r="7" spans="1:3" ht="28" customHeight="1">
      <c r="A7" s="41" t="s">
        <v>111</v>
      </c>
      <c r="B7" s="41" t="s">
        <v>70</v>
      </c>
      <c r="C7" s="41" t="s">
        <v>112</v>
      </c>
    </row>
    <row r="8" spans="1:3" ht="28" customHeight="1">
      <c r="A8" s="39" t="s">
        <v>113</v>
      </c>
      <c r="B8" s="39" t="s">
        <v>71</v>
      </c>
      <c r="C8" s="39" t="s">
        <v>114</v>
      </c>
    </row>
    <row r="9" spans="1:3" ht="28" customHeight="1">
      <c r="A9" s="40" t="s">
        <v>115</v>
      </c>
      <c r="B9" s="40" t="s">
        <v>72</v>
      </c>
      <c r="C9" s="40" t="s">
        <v>116</v>
      </c>
    </row>
    <row r="10" spans="1:3" ht="28" customHeight="1">
      <c r="A10" s="39" t="s">
        <v>117</v>
      </c>
      <c r="B10" s="39" t="s">
        <v>73</v>
      </c>
      <c r="C10" s="39" t="s">
        <v>118</v>
      </c>
    </row>
    <row r="11" spans="1:3" ht="28" customHeight="1">
      <c r="A11" s="40" t="s">
        <v>119</v>
      </c>
      <c r="B11" s="40" t="s">
        <v>120</v>
      </c>
      <c r="C11" s="40" t="s">
        <v>121</v>
      </c>
    </row>
    <row r="12" spans="1:3" ht="28" customHeight="1">
      <c r="A12" s="39" t="s">
        <v>122</v>
      </c>
      <c r="B12" s="39" t="s">
        <v>123</v>
      </c>
      <c r="C12" s="39" t="s">
        <v>124</v>
      </c>
    </row>
    <row r="13" spans="1:3" ht="28" customHeight="1">
      <c r="A13" s="40" t="s">
        <v>125</v>
      </c>
      <c r="B13" s="40" t="s">
        <v>76</v>
      </c>
      <c r="C13" s="40" t="s">
        <v>126</v>
      </c>
    </row>
    <row r="14" spans="1:3" ht="28" customHeight="1">
      <c r="A14" s="39" t="s">
        <v>127</v>
      </c>
      <c r="B14" s="39" t="s">
        <v>128</v>
      </c>
      <c r="C14" s="39" t="s">
        <v>129</v>
      </c>
    </row>
    <row r="15" spans="1:3" ht="28" customHeight="1">
      <c r="A15" s="40" t="s">
        <v>130</v>
      </c>
      <c r="B15" s="40" t="s">
        <v>131</v>
      </c>
      <c r="C15" s="40" t="s">
        <v>132</v>
      </c>
    </row>
    <row r="16" spans="1:3" ht="28" customHeight="1">
      <c r="A16" s="41" t="s">
        <v>133</v>
      </c>
      <c r="B16" s="41" t="s">
        <v>134</v>
      </c>
      <c r="C16" s="41" t="s">
        <v>135</v>
      </c>
    </row>
    <row r="17" spans="1:3" ht="28" customHeight="1">
      <c r="A17" s="41" t="s">
        <v>136</v>
      </c>
      <c r="B17" s="41" t="s">
        <v>137</v>
      </c>
      <c r="C17" s="41" t="s">
        <v>138</v>
      </c>
    </row>
    <row r="18" spans="1:3" ht="28" customHeight="1">
      <c r="A18" s="39" t="s">
        <v>139</v>
      </c>
      <c r="B18" s="39" t="s">
        <v>81</v>
      </c>
      <c r="C18" s="39" t="s">
        <v>140</v>
      </c>
    </row>
    <row r="19" spans="1:3" ht="30" customHeight="1">
      <c r="A19" s="42" t="s">
        <v>141</v>
      </c>
      <c r="B19" s="42"/>
      <c r="C19" s="42"/>
    </row>
    <row r="20" spans="1:3" ht="28" customHeight="1">
      <c r="A20" s="43" t="s">
        <v>142</v>
      </c>
      <c r="B20" s="43"/>
      <c r="C20" s="43"/>
    </row>
  </sheetData>
  <mergeCells count="4">
    <mergeCell ref="A1:C1"/>
    <mergeCell ref="A2:C2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Lists</vt:lpstr>
      <vt:lpstr>Activities</vt:lpstr>
      <vt:lpstr>Subcategory Reference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2026-07-28T09:34:19Z</dcterms:created>
  <dcterms:modified xsi:type="dcterms:W3CDTF">2026-07-28T09:34:19Z</dcterms:modified>
</cp:coreProperties>
</file>